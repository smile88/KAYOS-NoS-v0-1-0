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3" showHorizontalScroll="1" showVerticalScroll="1"/>
  </bookViews>
  <sheets>
    <sheet name="READ ME" sheetId="1" state="visible" r:id="rId1"/>
    <sheet name="DASHBOARD" sheetId="2" state="visible" r:id="rId2"/>
    <sheet name="AFFINITY PIPELINE" sheetId="3" state="visible" r:id="rId3"/>
    <sheet name="SPRITE SCALE" sheetId="5" state="visible" r:id="rId8"/>
    <sheet name="ASSETS" sheetId="4" state="visible" r:id="rId4"/>
  </sheets>
  <definedNames>
    <definedName name="_xlnm._FilterDatabase" localSheetId="3" hidden="1">ASSETS!$A$1:$K$130</definedName>
    <definedName name="_xlnm._FilterDatabase" localSheetId="3" hidden="1">ASSETS!$A$1:$K$130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<sst xmlns="http://schemas.openxmlformats.org/spreadsheetml/2006/main" count="650" uniqueCount="650">
  <si>
    <t xml:space="preserve">KAYOS: THE NIGHT OF SILENCE — Asset Bible &amp; Generation Tracker</t>
  </si>
  <si>
    <t xml:space="preserve">v1.0 · SC Milenwall · July 2026 · Image generation target: Nano Banana 2</t>
  </si>
  <si>
    <t xml:space="preserve">HOW TO USE</t>
  </si>
  <si>
    <t xml:space="preserve">1. Work the ASSETS sheet</t>
  </si>
  <si>
    <t xml:space="preserve">Filter by Priority and work P1 (Vertical Slice) first. Copy the full prompt from column H straight into Nano Banana 2.</t>
  </si>
  <si>
    <t xml:space="preserve">2. Update Status as you go</t>
  </si>
  <si>
    <t xml:space="preserve">Use the dropdown in column I. The DASHBOARD updates itself. Pipeline: Not Started -&gt; Prompted -&gt; Generated -&gt; Cleaned -&gt; Approved -&gt; In Engine.</t>
  </si>
  <si>
    <t xml:space="preserve">3. 'Cleaned' means the pixel pass</t>
  </si>
  <si>
    <t xml:space="preserve">Image models produce near-pixel-art, not true pixel art: grids drift and clusters smear. The reliable pipeline is: generate -&gt; downscale to true size -&gt; clean up in Affinity (Pixel studio) — see the AFFINITY PIPELINE sheet -&gt; export PNG. Budget cleanup time for every sprite/tileset.</t>
  </si>
  <si>
    <t xml:space="preserve">4. Keep a style anchor</t>
  </si>
  <si>
    <t xml:space="preserve">Generate CH-001 (Elorin) and PO-001 first, get them right, and then ATTACH those images as references in every later character/portrait generation. Reference images are the #1 consistency tool - prompts alone will drift.</t>
  </si>
  <si>
    <t xml:space="preserve">5. One asset, one session</t>
  </si>
  <si>
    <t xml:space="preserve">Generate variants of the same asset in the same chat/session with the reference attached, so the model holds the design.</t>
  </si>
  <si>
    <t xml:space="preserve">STATUS LEGEND</t>
  </si>
  <si>
    <t xml:space="preserve">Not Started</t>
  </si>
  <si>
    <t xml:space="preserve">No prompt run yet.</t>
  </si>
  <si>
    <t>Prompted</t>
  </si>
  <si>
    <t xml:space="preserve">Prompt run, output not yet acceptable (iterate).</t>
  </si>
  <si>
    <t>Generated</t>
  </si>
  <si>
    <t xml:space="preserve">An acceptable raw image exists and is saved to the project folder.</t>
  </si>
  <si>
    <t>Cleaned</t>
  </si>
  <si>
    <t xml:space="preserve">Downscaled + pixel-cleaned; true to grid. See AFFINITY PIPELINE sheet.</t>
  </si>
  <si>
    <t>Approved</t>
  </si>
  <si>
    <t xml:space="preserve">Final look signed off against the style anchors.</t>
  </si>
  <si>
    <t xml:space="preserve">In Engine</t>
  </si>
  <si>
    <t xml:space="preserve">Imported into Godot, filter=Nearest verified, visible in a scene.</t>
  </si>
  <si>
    <t xml:space="preserve">PRIORITY LEGEND</t>
  </si>
  <si>
    <t xml:space="preserve">P1 - Vertical Slice</t>
  </si>
  <si>
    <t xml:space="preserve">Cold Open + Part One Act I (Starfall). Nothing else matters until these are In Engine.</t>
  </si>
  <si>
    <t xml:space="preserve">P2 - Part One</t>
  </si>
  <si>
    <t xml:space="preserve">Remainder of Elorin's campaign.</t>
  </si>
  <si>
    <t xml:space="preserve">P3 - Part Two</t>
  </si>
  <si>
    <t xml:space="preserve">Grakkar's campaign.</t>
  </si>
  <si>
    <t xml:space="preserve">P4 - Polish</t>
  </si>
  <si>
    <t xml:space="preserve">Visions, endings, aftermath, FX, audio.</t>
  </si>
  <si>
    <t xml:space="preserve">NANO BANANA 2 TIPS</t>
  </si>
  <si>
    <t>Backgrounds</t>
  </si>
  <si>
    <t xml:space="preserve">Prompts ask for flat magenta backgrounds on sprites - trivial to key out. If the model ignores it, add 'isolated on solid #FF00FF background' verbatim.</t>
  </si>
  <si>
    <t xml:space="preserve">Sprite sheets</t>
  </si>
  <si>
    <t xml:space="preserve">If a 4-direction sheet comes out scrambled, generate ONE direction per image instead (edit the prompt to 'walk cycle, facing down, 4 frames in a row') - four clean images beat one messy grid.</t>
  </si>
  <si>
    <t>Tilesets</t>
  </si>
  <si>
    <t xml:space="preserve">Treat tileset outputs as REFERENCE ART: rebuild the actual 32px tiles over them (AFFINITY PIPELINE sheet). Models cannot hold a strict tile grid; don't fight it.</t>
  </si>
  <si>
    <t>Upscaling</t>
  </si>
  <si>
    <t xml:space="preserve">Generate large, then downscale to target size with 'nearest neighbour' - never let an art tool smooth-resize pixel art.</t>
  </si>
  <si>
    <t>Iteration</t>
  </si>
  <si>
    <t xml:space="preserve">Keep the winning image of each asset in a /style_anchors folder. That folder becomes the true art bible.</t>
  </si>
  <si>
    <t xml:space="preserve">FILE ORGANISATION (suggested)</t>
  </si>
  <si>
    <t>assets_raw/</t>
  </si>
  <si>
    <t xml:space="preserve">Raw generations, named by asset ID (CH-001_v3.png).</t>
  </si>
  <si>
    <t>assets_clean/</t>
  </si>
  <si>
    <t xml:space="preserve">Aseprite-cleaned finals, same IDs - these import to Godot.</t>
  </si>
  <si>
    <t>style_anchors/</t>
  </si>
  <si>
    <t xml:space="preserve">One winning reference image per character/location.</t>
  </si>
  <si>
    <t xml:space="preserve">NOTE ON THE EXAMPLE ROW</t>
  </si>
  <si>
    <t xml:space="preserve">Row 2 of ASSETS (CH-001) is pre-filled with example Status/Date/Notes values to show the expected format - reset it to 'Not Started' when you begin.</t>
  </si>
  <si>
    <t xml:space="preserve">PRODUCTION DASHBOARD</t>
  </si>
  <si>
    <t>OVERALL</t>
  </si>
  <si>
    <t xml:space="preserve">Total assets</t>
  </si>
  <si>
    <t xml:space="preserve">In Engine (done)</t>
  </si>
  <si>
    <t xml:space="preserve">% complete</t>
  </si>
  <si>
    <t xml:space="preserve">BY STATUS</t>
  </si>
  <si>
    <t xml:space="preserve">BY CATEGORY</t>
  </si>
  <si>
    <t>Category</t>
  </si>
  <si>
    <t>Total</t>
  </si>
  <si>
    <t xml:space="preserve">% done</t>
  </si>
  <si>
    <t xml:space="preserve">Character Sprite</t>
  </si>
  <si>
    <t>Portrait</t>
  </si>
  <si>
    <t>Environment</t>
  </si>
  <si>
    <t xml:space="preserve">Prop / Object</t>
  </si>
  <si>
    <t xml:space="preserve">Item Icon</t>
  </si>
  <si>
    <t>UI</t>
  </si>
  <si>
    <t xml:space="preserve">Story Panel</t>
  </si>
  <si>
    <t xml:space="preserve">Font / External</t>
  </si>
  <si>
    <t xml:space="preserve">BY PRIORITY</t>
  </si>
  <si>
    <t>Priority</t>
  </si>
  <si>
    <t xml:space="preserve">AFFINITY PIPELINE — pixel-art cleanup on the unified Affinity app (macOS)</t>
  </si>
  <si>
    <t xml:space="preserve">For: Affinity by Canva (unified app — Pixel / Vector / Layout studios), iMac M4. Shortcuts given Mac-style (Cmd).</t>
  </si>
  <si>
    <t xml:space="preserve">THE VERDICT FIRST</t>
  </si>
  <si>
    <t xml:space="preserve">Affinity replaces Aseprite for most of this bible</t>
  </si>
  <si>
    <t xml:space="preserve">Affinity's Pixel studio is a full raster editor (it is the old Affinity Photo). It can do everything a pixel cleanup pass needs: hard aliased pixels, nearest-neighbour resampling, exact canvases, palettes, PNG export. Use it.</t>
  </si>
  <si>
    <t xml:space="preserve">The one real gap: animation</t>
  </si>
  <si>
    <t xml:space="preserve">Affinity has NO frame timeline and NO onion skinning. Aseprite's whole reason to exist is animating sprites. For the 28 character sprite sheets (4-direction walk cycles), you can still lay frames out manually on a grid in Affinity — you just can't PREVIEW the animation without exporting and running it in Godot.</t>
  </si>
  <si>
    <t xml:space="preserve">My recommendation</t>
  </si>
  <si>
    <t xml:space="preserve">Do everything in Affinity. Do NOT buy a second tool yet. Character walk cycles are Phase 6 work — months away. If the no-preview friction actually bites when you get there, add Aseprite (~USD $20) or LibreSprite (free fork) THEN, for sprite sheets only. Don't pre-solve a problem you haven't hit.</t>
  </si>
  <si>
    <t xml:space="preserve">Where Affinity is genuinely BETTER than Aseprite</t>
  </si>
  <si>
    <t xml:space="preserve">Portraits (PO-001..014), story panels (VS-001..010), all UI (UI-001..018), and the logo. These are painterly or vector work — Aseprite is bad at them, Affinity is excellent. Also: cleaning up raw AI generations (keying out magenta, colour correction, palette unification) is far better in Affinity.</t>
  </si>
  <si>
    <t xml:space="preserve">ONE-TIME APP SETUP</t>
  </si>
  <si>
    <t xml:space="preserve">1. Work in the Pixel studio</t>
  </si>
  <si>
    <t xml:space="preserve">Switch studios from the selector at the top of the window: Pixel / Vector / Layout. Pixel = the old Affinity Photo = where all sprite/tile cleanup happens. Use Vector studio only for UI panels, icons and the logo.</t>
  </si>
  <si>
    <t xml:space="preserve">2. Turn on Pixel View</t>
  </si>
  <si>
    <t xml:space="preserve">Cmd+Opt+Y toggles Pixel View / Vector View. Pixel View shows true rasterised pixels — this is the one you want for all pixel work. (If your art ever looks mysteriously soft, you've flipped to Vector View.)</t>
  </si>
  <si>
    <t xml:space="preserve">3. Set up the grid</t>
  </si>
  <si>
    <t xml:space="preserve">Turn on the grid and set spacing to 32 px with 1 division (View menu &gt; grid settings; in the unified app it sits under the View/Guides area). This is your tile grid for every environment and prop sheet.</t>
  </si>
  <si>
    <t xml:space="preserve">4. Turn on snapping</t>
  </si>
  <si>
    <t xml:space="preserve">Snapping toggle lives in the toolbar. With Force Pixel Alignment on (Vector studio toolbar), vector shapes land on whole pixels instead of half-pixel mush — essential when building UI that must sit on a 640x360 screen.</t>
  </si>
  <si>
    <t xml:space="preserve">5. Save a KAYOS palette</t>
  </si>
  <si>
    <t xml:space="preserve">In the Swatches panel, create a new Document Palette per faction: Noctari (indigo/violet/silver), Solari (gold/ivory/white/dawn-orange), Orc (ash/iron/rust/ember). Build them once from your approved style anchors, then every later asset picks from them. This is how a 129-asset game stays visually coherent.</t>
  </si>
  <si>
    <t xml:space="preserve">CANVAS SETUP PER ASSET TYPE</t>
  </si>
  <si>
    <t xml:space="preserve">Character sprite frame</t>
  </si>
  <si>
    <t xml:space="preserve">48 x 72 px · 72 DPI · RGB/8 · transparent. Sheet = 4 cols x 4 rows = 192 x 288 px. Feet on the frame's bottom edge. Character height varies by race (see SPRITE SCALE sheet) — Elorin/elves/humans 64 px, orcs 68-70 px, Terran 52 px, children 44 px.</t>
  </si>
  <si>
    <t xml:space="preserve">Tileset working canvas</t>
  </si>
  <si>
    <t xml:space="preserve">Multiple of 32. Suggested 512 x 512 px (16x16 tiles) · 72 DPI · RGB/8.</t>
  </si>
  <si>
    <t xml:space="preserve">Prop / object</t>
  </si>
  <si>
    <t xml:space="preserve">Multiples of 32 (32x32, 64x64, 96x64 etc) · transparent background.</t>
  </si>
  <si>
    <t xml:space="preserve">Item icon</t>
  </si>
  <si>
    <t xml:space="preserve">Exactly 32 x 32 px · transparent.</t>
  </si>
  <si>
    <t xml:space="preserve">UI element</t>
  </si>
  <si>
    <t xml:space="preserve">Build in VECTOR studio at 2x target size, export at 1x and 2x. 9-slice panels: design the corners at 8-16px so they survive scaling.</t>
  </si>
  <si>
    <t xml:space="preserve">512 x 512 px working (painterly, Pixel studio), export a 96 x 96 game version.</t>
  </si>
  <si>
    <t xml:space="preserve">Story panel</t>
  </si>
  <si>
    <t xml:space="preserve">1920 x 1080 px · painterly · NOT pixel art (deliberate register shift).</t>
  </si>
  <si>
    <t>Always</t>
  </si>
  <si>
    <t xml:space="preserve">72 DPI, RGB/8-bit, sRGB. DPI is irrelevant to games but keep it consistent so nothing silently rescales.</t>
  </si>
  <si>
    <t xml:space="preserve">TOOLS: USE THESE / AVOID THESE</t>
  </si>
  <si>
    <t xml:space="preserve">USE: Pixel Tool</t>
  </si>
  <si>
    <t xml:space="preserve">Draws hard, aliased, single pixels. This is THE tool for cleanup. Set width to 1 px.</t>
  </si>
  <si>
    <t xml:space="preserve">USE: Flood Fill Tool</t>
  </si>
  <si>
    <t xml:space="preserve">Turn anti-aliasing OFF in its options bar before using, or you'll get soft fringe pixels.</t>
  </si>
  <si>
    <t xml:space="preserve">USE: Selection tools + Cmd+C/V</t>
  </si>
  <si>
    <t xml:space="preserve">Copy-paste is how you build walk-cycle frames: duplicate the idle frame, nudge limbs, repeat.</t>
  </si>
  <si>
    <t xml:space="preserve">USE: Colour Picker</t>
  </si>
  <si>
    <t xml:space="preserve">Pick from your saved palette constantly. Never introduce a colour that isn't in the faction palette.</t>
  </si>
  <si>
    <t xml:space="preserve">AVOID: Paint Brush Tool</t>
  </si>
  <si>
    <t xml:space="preserve">It is anti-aliased by design — it will feather your edges and silently destroy pixel art.</t>
  </si>
  <si>
    <t xml:space="preserve">AVOID: any Blur / Feather / Soft Shadow / Glow effect</t>
  </si>
  <si>
    <t xml:space="preserve">All of them produce in-between pixels. Shade with dithering or discrete colour steps instead.</t>
  </si>
  <si>
    <t xml:space="preserve">AVOID: free-transform scaling of pixel layers</t>
  </si>
  <si>
    <t xml:space="preserve">Scaling a pixel layer by a non-integer amount resamples it. If you must scale, use whole multiples only.</t>
  </si>
  <si>
    <t xml:space="preserve">AVOID: Layer FX / Live Filters on sprites</t>
  </si>
  <si>
    <t xml:space="preserve">Fine on portraits and story panels. Fatal on 32px sprites.</t>
  </si>
  <si>
    <t xml:space="preserve">THE CLEANUP WORKFLOW (raw generation -&gt; final PNG)</t>
  </si>
  <si>
    <t xml:space="preserve">Step 1 — open the raw generation</t>
  </si>
  <si>
    <t xml:space="preserve">Open the Nano Banana 2 output in Pixel studio. It will be large (1024px+) and only NEAR pixel art: drifting grid, smeared clusters, anti-aliased edges.</t>
  </si>
  <si>
    <t xml:space="preserve">Step 2 — key out the magenta</t>
  </si>
  <si>
    <t xml:space="preserve">Select &gt; Select Sampled Colour on the flat magenta background, tolerance low, then delete. (Or Select &gt; Colour Range.) This is why every sprite prompt asks for flat magenta.</t>
  </si>
  <si>
    <t xml:space="preserve">Step 3 — downscale with Nearest Neighbour</t>
  </si>
  <si>
    <t xml:space="preserve">Document menu &gt; Resize Document. Set target size (e.g. 48 x 72). Set Resampling = NEAREST NEIGHBOUR. Never Bilinear/Bicubic/Lanczos — those blur. NOTE: in the unified app the resize options are still under Document while in Pixel studio, but sit deeper in the menu than they did in v2 — hunt for them once, then remember.</t>
  </si>
  <si>
    <t xml:space="preserve">Step 3b — ignore 'Pixel Art' resize</t>
  </si>
  <si>
    <t xml:space="preserve">Affinity has a separate 'Pixel Art' resizing option (XBR/HQX, 2x/3x/4x). That's for ENLARGING existing pixel art. It is not what we want here — we're downscaling. Nearest Neighbour is the correct choice.</t>
  </si>
  <si>
    <t xml:space="preserve">Step 4 — the actual cleanup (the real work)</t>
  </si>
  <si>
    <t xml:space="preserve">At 48x72 the downscale will be a mess. Zoom to 800-1600%, and with the Pixel Tool redraw: fix the silhouette first (it must read instantly at native size), then flatten stray in-between colours onto palette colours, then clean the outline to a single consistent pixel run. Budget 20-45 min per sprite. This is normal and unavoidable.</t>
  </si>
  <si>
    <t xml:space="preserve">Step 5 — check at native size</t>
  </si>
  <si>
    <t xml:space="preserve">Keep a second view at 100% zoom (Window &gt; New View) while you work at 1600%. If it doesn't read at 100%, it doesn't work — no amount of detail fixes a bad silhouette.</t>
  </si>
  <si>
    <t xml:space="preserve">Step 6 — export</t>
  </si>
  <si>
    <t xml:space="preserve">File &gt; Export &gt; PNG. Confirm size is exact and resampling is Nearest Neighbour (or 'Don't resample'). Save to assets_clean/ using the asset ID (CH-001.png). Then set Status = Cleaned.</t>
  </si>
  <si>
    <t xml:space="preserve">Step 7 — into Godot</t>
  </si>
  <si>
    <t xml:space="preserve">Import, then in the Import tab set Filter = OFF / Nearest and re-import. If your sprite looks blurry in-engine, this is always the cause. Then set Status = In Engine.</t>
  </si>
  <si>
    <t xml:space="preserve">TILESETS — THE SPECIAL CASE</t>
  </si>
  <si>
    <t xml:space="preserve">Treat AI tileset output as reference only</t>
  </si>
  <si>
    <t xml:space="preserve">No image model can hold a strict 32px grid. Do not try to salvage the grid — you'll lose hours.</t>
  </si>
  <si>
    <t xml:space="preserve">The method</t>
  </si>
  <si>
    <t xml:space="preserve">Open the generation as a BOTTOM layer, drop opacity to ~40%, turn on the 32px grid, then draw clean tiles on a new layer above it using the generation purely as colour/mood reference. You are tracing intent, not pixels.</t>
  </si>
  <si>
    <t xml:space="preserve">Affinity gap: no tiled preview</t>
  </si>
  <si>
    <t xml:space="preserve">Aseprite can preview a tile repeating seamlessly; Affinity can't. Workaround: build the tile, then copy-paste it into a 3x3 block on a scratch layer to eyeball the seams. Crude but it works.</t>
  </si>
  <si>
    <t xml:space="preserve">SPRITE SHEETS — THE ANIMATION WORKAROUND</t>
  </si>
  <si>
    <t>Layout</t>
  </si>
  <si>
    <t xml:space="preserve">One canvas, 192 x 288 px. Each 48x72 cell = one frame. Row 1 = walk down, row 2 = up, row 3 = left, row 4 = right.</t>
  </si>
  <si>
    <t xml:space="preserve">Build method</t>
  </si>
  <si>
    <t xml:space="preserve">Draw the idle/contact frame. Duplicate the layer, nudge the legs/arms 1-2 px, repeat for 4 frames. Keep each frame on its own layer group so you can revise one without touching the others.</t>
  </si>
  <si>
    <t xml:space="preserve">No onion skin — the workaround</t>
  </si>
  <si>
    <t xml:space="preserve">Set the previous frame's layer to ~30% opacity underneath the one you're drawing. That IS onion skinning, done manually. Toggle it off before export.</t>
  </si>
  <si>
    <t xml:space="preserve">No playback — the workaround</t>
  </si>
  <si>
    <t xml:space="preserve">Export the sheet and preview the animation in Godot (AnimatedSprite2D). Slower loop than Aseprite, but it's the only place the animation has to look right anyway.</t>
  </si>
  <si>
    <t xml:space="preserve">If this becomes painful</t>
  </si>
  <si>
    <t xml:space="preserve">That's the signal to add Aseprite/LibreSprite for sprite sheets only — and only then.</t>
  </si>
  <si>
    <t xml:space="preserve">PALETTE DISCIPLINE (the thing that makes it look like ONE game)</t>
  </si>
  <si>
    <t>Rule</t>
  </si>
  <si>
    <t xml:space="preserve">Every asset picks colours ONLY from its faction's document palette. No exceptions, no 'close enough' colours.</t>
  </si>
  <si>
    <t xml:space="preserve">Why it matters more than detail</t>
  </si>
  <si>
    <t xml:space="preserve">129 assets made by an image model will drift wildly in hue. A unified palette is what makes them read as one world — it does more for coherence than any amount of per-sprite polish.</t>
  </si>
  <si>
    <t xml:space="preserve">Build the palettes from the anchors</t>
  </si>
  <si>
    <t xml:space="preserve">Generate CH-001 (Elorin) and PO-001 first. Approve them. Pull the palette from those images (Swatches &gt; create palette from image), prune to ~16-24 colours per faction, and lock it. Everything after conforms.</t>
  </si>
  <si>
    <t>ID</t>
  </si>
  <si>
    <t xml:space="preserve">Asset Name</t>
  </si>
  <si>
    <t xml:space="preserve">Used In</t>
  </si>
  <si>
    <t xml:space="preserve">Size / Format</t>
  </si>
  <si>
    <t xml:space="preserve">Variants &amp; Animations</t>
  </si>
  <si>
    <t xml:space="preserve">Nano Banana 2 Prompt (copy whole cell)</t>
  </si>
  <si>
    <t>Status</t>
  </si>
  <si>
    <t xml:space="preserve">Date Done</t>
  </si>
  <si>
    <t>Notes</t>
  </si>
  <si>
    <t>CH-001</t>
  </si>
  <si>
    <t xml:space="preserve">Elorin Voidweaver (Academy)</t>
  </si>
  <si>
    <t xml:space="preserve">P1 all acts</t>
  </si>
  <si>
    <t xml:space="preserve">48x72/frame · 192x288 sheet (4x4)</t>
  </si>
  <si>
    <t xml:space="preserve">3 class palette variants (Voidweaver indigo-black / Harmonist silver-blue / Mender pale green)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</si>
  <si>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Noctari night elf woman, mid-life scholar-archmage: long dark hair, elegant layered academy robes with subtle void-black trim, calm intense bearing. Noctari (night elf) palette: deep indigo, violet, silver starlight accents. Clean readable silhouette, crisp pixel clusters, no anti-aliasing, unified palette, flat solid magenta background for easy removal.</t>
  </si>
  <si>
    <t>2026-07-12</t>
  </si>
  <si>
    <t xml:space="preserve">(EXAMPLE ROW - reset to Not Started) v3 kept; anchor saved to style_anchors/.</t>
  </si>
  <si>
    <t>CH-002</t>
  </si>
  <si>
    <t xml:space="preserve">Elorin (exile / travel)</t>
  </si>
  <si>
    <t xml:space="preserve">P1 Act III</t>
  </si>
  <si>
    <t>-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</si>
  <si>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Same Noctari woman as CH-001 but in a hooded weathered travel cloak, worn satchel, wearier posture. Noctari (night elf) palette: deep indigo, violet, silver starlight accents. Clean readable silhouette, crisp pixel clusters, no anti-aliasing, unified palette, flat solid magenta background for easy removal.</t>
  </si>
  <si>
    <t xml:space="preserve">Use CH-001 output as reference image for consistency.</t>
  </si>
  <si>
    <t>CH-003</t>
  </si>
  <si>
    <t xml:space="preserve">Grakkar (young, Ashpile)</t>
  </si>
  <si>
    <t xml:space="preserve">P2 Act I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</si>
  <si>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young orc labor-slave: lean but broad, ragged work clothes, iron collar, watchful intelligent eyes. orc/Ashpile palette: ash grey, iron, rust, ember orange. Clean readable silhouette, crisp pixel clusters, no anti-aliasing, unified palette, flat solid magenta background for easy removal.</t>
  </si>
  <si>
    <t>CH-004</t>
  </si>
  <si>
    <t xml:space="preserve">Grakkar (prime, facility)</t>
  </si>
  <si>
    <t xml:space="preserve">P2 Act II</t>
  </si>
  <si>
    <t xml:space="preserve">Variant: archive disguise robes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</si>
  <si>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The same orc in his prime: massive, scarred, controlled, plain laborer garb concealing discipline. orc/Ashpile palette: ash grey, iron, rust, ember orange. Clean readable silhouette, crisp pixel clusters, no anti-aliasing, unified palette, flat solid magenta background for easy removal.</t>
  </si>
  <si>
    <t xml:space="preserve">Reference CH-003 output for facial continuity.</t>
  </si>
  <si>
    <t>CH-005</t>
  </si>
  <si>
    <t xml:space="preserve">Grakkar the Unbound (the Night)</t>
  </si>
  <si>
    <t xml:space="preserve">P2 Act III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</si>
  <si>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The same orc as a scarred elder revolutionary: grey-streaked, upright, terrible resolve, dark leathers. orc/Ashpile palette: ash grey, iron, rust, ember orange. Clean readable silhouette, crisp pixel clusters, no anti-aliasing, unified palette, flat solid magenta background for easy removal.</t>
  </si>
  <si>
    <t>CH-006</t>
  </si>
  <si>
    <t xml:space="preserve">Talindir (apprentice scribe)</t>
  </si>
  <si>
    <t xml:space="preserve">Cold Open, P1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</si>
  <si>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young-looking elf apprentice scribe (~80, youthful for an elf): ink-stained fingers, satchel of scrolls, modest grey-blue robes. Noctari (night elf) palette: deep indigo, violet, silver starlight accents. Clean readable silhouette, crisp pixel clusters, no anti-aliasing, unified palette, flat solid magenta background for easy removal.</t>
  </si>
  <si>
    <t>CH-007</t>
  </si>
  <si>
    <t xml:space="preserve">Talindir (the Night / coda)</t>
  </si>
  <si>
    <t xml:space="preserve">Cold Open, Coda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</si>
  <si>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The same elf scribe aged and hollowed by catastrophe: dishevelled robes, clutching a chronicle ledger, haunted but resolute. Muted grey-violet palette. Clean readable silhouette, crisp pixel clusters, no anti-aliasing, unified palette, flat solid magenta background for easy removal.</t>
  </si>
  <si>
    <t>CH-008</t>
  </si>
  <si>
    <t xml:space="preserve">Sera (structural enchantress)</t>
  </si>
  <si>
    <t>P1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</si>
  <si>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Solari sun elf woman, precise and immaculate: structured gold-white work robes, tool sash of enchanting instruments. Solari (sun elf) palette: radiant gold, ivory, white marble, dawn-orange accents. Clean readable silhouette, crisp pixel clusters, no anti-aliasing, unified palette, flat solid magenta background for easy removal.</t>
  </si>
  <si>
    <t>CH-009</t>
  </si>
  <si>
    <t xml:space="preserve">Coil (Noctari theorist)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</si>
  <si>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wiry Noctari man, Elorin's former student: rumpled scholar robes, spectacles, armful of notes, nervous energy. Noctari (night elf) palette: deep indigo, violet, silver starlight accents. Clean readable silhouette, crisp pixel clusters, no anti-aliasing, unified palette, flat solid magenta background for easy removal.</t>
  </si>
  <si>
    <t>CH-010</t>
  </si>
  <si>
    <t xml:space="preserve">Vara (human prodigy)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</si>
  <si>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young human woman prodigy among elves: simple practical clothes, bright alert posture, slightly out of place. Warm earth-tone palette against elven surroundings. Clean readable silhouette, crisp pixel clusters, no anti-aliasing, unified palette, flat solid magenta background for easy removal.</t>
  </si>
  <si>
    <t>CH-011</t>
  </si>
  <si>
    <t xml:space="preserve">Durak Ironthought (Terran geomancer)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</si>
  <si>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stout Terran (dwarf-like earthfolk) geomancer: stone-grey skin, braided beard with copper rings, heavy tool harness, rune-etched chisels. Clean readable silhouette, crisp pixel clusters, no anti-aliasing, unified palette, flat solid magenta background for easy removal.</t>
  </si>
  <si>
    <t>CH-012</t>
  </si>
  <si>
    <t xml:space="preserve">Seravin Hollow-Water (mentor)</t>
  </si>
  <si>
    <t xml:space="preserve">P1 memory scenes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</si>
  <si>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An elderly Noctari mentor: serene, water-smooth robes in fading blues, walking staff, gentle gravity. Noctari (night elf) palette: deep indigo, violet, silver starlight accents. Clean readable silhouette, crisp pixel clusters, no anti-aliasing, unified palette, flat solid magenta background for easy removal.</t>
  </si>
  <si>
    <t>CH-013</t>
  </si>
  <si>
    <t xml:space="preserve">Corel (containment archmagister)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</si>
  <si>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An exhausted Noctari archmagister: formal high-collared robes gone slightly unkempt, dark-ringed eyes, burden visible in the shoulders. Noctari (night elf) palette: deep indigo, violet, silver starlight accents. Clean readable silhouette, crisp pixel clusters, no anti-aliasing, unified palette, flat solid magenta background for easy removal.</t>
  </si>
  <si>
    <t>CH-014</t>
  </si>
  <si>
    <t xml:space="preserve">Conclave official (generic)</t>
  </si>
  <si>
    <t xml:space="preserve">2 color variants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</si>
  <si>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haughty elven Conclave official: ceremonial layered robes, chain of office, imperious bearing. Mixed Noctari/Solari court palette. Clean readable silhouette, crisp pixel clusters, no anti-aliasing, unified palette, flat solid magenta background for easy removal.</t>
  </si>
  <si>
    <t>CH-015</t>
  </si>
  <si>
    <t xml:space="preserve">Academy student set</t>
  </si>
  <si>
    <t xml:space="preserve">3 body/hair variants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</si>
  <si>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Young elven academy students in matching study robes with house-color sashes. Noctari (night elf) palette: deep indigo, violet, silver starlight accents. Clean readable silhouette, crisp pixel clusters, no anti-aliasing, unified palette, flat solid magenta background for easy removal.</t>
  </si>
  <si>
    <t xml:space="preserve">Crowd filler for Starfall.</t>
  </si>
  <si>
    <t>CH-016</t>
  </si>
  <si>
    <t xml:space="preserve">Academy researcher (generic)</t>
  </si>
  <si>
    <t xml:space="preserve">2 variants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</si>
  <si>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Mid-rank elven researcher: work robes with protective apron, glyph-marked gloves. Noctari (night elf) palette: deep indigo, violet, silver starlight accents. Clean readable silhouette, crisp pixel clusters, no anti-aliasing, unified palette, flat solid magenta background for easy removal.</t>
  </si>
  <si>
    <t>CH-017</t>
  </si>
  <si>
    <t xml:space="preserve">Void Warden</t>
  </si>
  <si>
    <t xml:space="preserve">P1 Act III, P2 Act III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</si>
  <si>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An elite vault guardian in sealed dark plate armor chased with silver null-glyphs, faceless helm, halberd of black glass. Intimidating silhouette. Clean readable silhouette, crisp pixel clusters, no anti-aliasing, unified palette, flat solid magenta background for easy removal.</t>
  </si>
  <si>
    <t xml:space="preserve">Appears in BOTH parts - the vault's constant.</t>
  </si>
  <si>
    <t>CH-018</t>
  </si>
  <si>
    <t xml:space="preserve">Starfall citizen set</t>
  </si>
  <si>
    <t xml:space="preserve">4 variants (mixed ages)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</si>
  <si>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Ordinary Noctari city folk: merchants, lamplighters, parents, elders. Noctari (night elf) palette: deep indigo, violet, silver starlight accents. Clean readable silhouette, crisp pixel clusters, no anti-aliasing, unified palette, flat solid magenta background for easy removal.</t>
  </si>
  <si>
    <t>CH-019</t>
  </si>
  <si>
    <t xml:space="preserve">Morga Steelheart</t>
  </si>
  <si>
    <t>P2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</si>
  <si>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An orc woman elder, the revolution's conscience: iron-grey braids, patched war-coat, carries herself like a judge. orc/Ashpile palette: ash grey, iron, rust, ember orange. Clean readable silhouette, crisp pixel clusters, no anti-aliasing, unified palette, flat solid magenta background for easy removal.</t>
  </si>
  <si>
    <t>CH-020</t>
  </si>
  <si>
    <t>Kess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</si>
  <si>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young orc courier/agent: quick, slight for an orc, hooded wrap, message tubes at the belt. orc/Ashpile palette: ash grey, iron, rust, ember orange. Clean readable silhouette, crisp pixel clusters, no anti-aliasing, unified palette, flat solid magenta background for easy removal.</t>
  </si>
  <si>
    <t>CH-021</t>
  </si>
  <si>
    <t xml:space="preserve">Orc laborer set</t>
  </si>
  <si>
    <t xml:space="preserve">3 variants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</si>
  <si>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Enslaved orc laborers: iron collars, tool harnesses, ash-dusted work clothes, weary strength. orc/Ashpile palette: ash grey, iron, rust, ember orange. Clean readable silhouette, crisp pixel clusters, no anti-aliasing, unified palette, flat solid magenta background for easy removal.</t>
  </si>
  <si>
    <t>CH-022</t>
  </si>
  <si>
    <t xml:space="preserve">Orc rebel fighter</t>
  </si>
  <si>
    <t xml:space="preserve">P2 Act I (Black Crag)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</si>
  <si>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Orc rebellion fighter: improvised armor from labor gear, broken-chain motif painted on chest. orc/Ashpile palette: ash grey, iron, rust, ember orange. Clean readable silhouette, crisp pixel clusters, no anti-aliasing, unified palette, flat solid magenta background for easy removal.</t>
  </si>
  <si>
    <t>CH-023</t>
  </si>
  <si>
    <t xml:space="preserve">Elven overseer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</si>
  <si>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 cold elven labor overseer: crisp uniform coat, glyph-tipped rod of office, contemptuous posture. Solari (sun elf) palette: radiant gold, ivory, white marble, dawn-orange accents. Clean readable silhouette, crisp pixel clusters, no anti-aliasing, unified palette, flat solid magenta background for easy removal.</t>
  </si>
  <si>
    <t>CH-024</t>
  </si>
  <si>
    <t xml:space="preserve">Facility researcher (Solari)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</si>
  <si>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Solari facility researcher: pristine work robes, clipboard scroll-frame, oblivious to the labor around them. Solari (sun elf) palette: radiant gold, ivory, white marble, dawn-orange accents. Clean readable silhouette, crisp pixel clusters, no anti-aliasing, unified palette, flat solid magenta background for easy removal.</t>
  </si>
  <si>
    <t>CH-025</t>
  </si>
  <si>
    <t xml:space="preserve">Archivist of Astral Wisdom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</si>
  <si>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An ancient elven archivist: dust-colored robes, key-ring of dozens of archive keys, lantern-staff. Solari (sun elf) palette: radiant gold, ivory, white marble, dawn-orange accents. Clean readable silhouette, crisp pixel clusters, no anti-aliasing, unified palette, flat solid magenta background for easy removal.</t>
  </si>
  <si>
    <t>CH-026</t>
  </si>
  <si>
    <t xml:space="preserve">Solari Tower guard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</si>
  <si>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Tower of Celestial Harmony guard: gilded ceremonial half-plate, sun-disc shield, spear. Solari (sun elf) palette: radiant gold, ivory, white marble, dawn-orange accents. Clean readable silhouette, crisp pixel clusters, no anti-aliasing, unified palette, flat solid magenta background for easy removal.</t>
  </si>
  <si>
    <t xml:space="preserve">Shared across both parts - build once.</t>
  </si>
  <si>
    <t>CH-027</t>
  </si>
  <si>
    <t xml:space="preserve">Astra'Thalas citizen set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</si>
  <si>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Solari capital citizens in festival dress for the solstice. Solari (sun elf) palette: radiant gold, ivory, white marble, dawn-orange accents. Clean readable silhouette, crisp pixel clusters, no anti-aliasing, unified palette, flat solid magenta background for easy removal.</t>
  </si>
  <si>
    <t>CH-028</t>
  </si>
  <si>
    <t xml:space="preserve">Ashpile child</t>
  </si>
  <si>
    <t xml:space="preserve">HD pixel art character sprite sheet for a top-down 2D dark-fantasy RPG (Zelda: Minish Cap fidelity, 48x72 px per frame). Grid layout: 4 rows = walk down / up / left / right, exactly 4 frames per row (walk cycle: contact-pass-contact-pass), 4 rows only, no extra columns. Orc children of the birth-camp: small, quick, ragged, resilient. orc/Ashpile palette: ash grey, iron, rust, ember orange. Clean readable silhouette, crisp pixel clusters, no anti-aliasing, unified palette, flat solid magenta background for easy removal.</t>
  </si>
  <si>
    <t>PO-001</t>
  </si>
  <si>
    <t xml:space="preserve">Elorin — composed</t>
  </si>
  <si>
    <t xml:space="preserve">512x512 source -&gt; 96x96 in-game</t>
  </si>
  <si>
    <t xml:space="preserve">Expressions: neutral / strained / grieved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</si>
  <si>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Noctari night elf woman archmage in mid-life: sharp intelligent features, long dark hair, layered indigo academy robes with void-black trim, quiet authority and buried doubt in the eyes. Noctari (night elf) palette: deep indigo, violet, silver starlight accents.</t>
  </si>
  <si>
    <t xml:space="preserve">Keep one style seed/reference across ALL portraits.</t>
  </si>
  <si>
    <t>PO-002</t>
  </si>
  <si>
    <t xml:space="preserve">Grakkar — young</t>
  </si>
  <si>
    <t xml:space="preserve">Expressions: guarded / defiant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</si>
  <si>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young orc slave with watchful, fiercely intelligent eyes, iron collar, ash-dusted skin, unbroken pride. orc/Ashpile palette: ash grey, iron, rust, ember orange.</t>
  </si>
  <si>
    <t>PO-003</t>
  </si>
  <si>
    <t xml:space="preserve">Grakkar — the Unbound</t>
  </si>
  <si>
    <t xml:space="preserve">Expressions: resolute / grieving / terrible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</si>
  <si>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An elder orc revolutionary: grey-streaked hair, old scars, eyes that have carried a plan for two centuries. Ash and ember palette.</t>
  </si>
  <si>
    <t>PO-004</t>
  </si>
  <si>
    <t xml:space="preserve">Talindir — apprentice</t>
  </si>
  <si>
    <t xml:space="preserve">Expressions: eager / uneasy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</si>
  <si>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youthful elf scribe with ink-stained fingers and earnest eyes, grey-blue modest robes.</t>
  </si>
  <si>
    <t>PO-005</t>
  </si>
  <si>
    <t xml:space="preserve">Talindir — chronicler</t>
  </si>
  <si>
    <t xml:space="preserve">Expressions: hollowed / resolved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</si>
  <si>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The same elf scribe aged by catastrophe: gaunt, haunted, holding a ledger like a wound.</t>
  </si>
  <si>
    <t>PO-006</t>
  </si>
  <si>
    <t>Sera</t>
  </si>
  <si>
    <t xml:space="preserve">Expressions: precise / warm (rare)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</si>
  <si>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Solari sun elf enchantress: immaculate, geometric gold jewelry, appraising gaze. Solari (sun elf) palette: radiant gold, ivory, white marble, dawn-orange accents.</t>
  </si>
  <si>
    <t>PO-007</t>
  </si>
  <si>
    <t>Coil</t>
  </si>
  <si>
    <t xml:space="preserve">Expressions: animated / anxious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</si>
  <si>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wiry Noctari theorist with spectacles, ink smudges, and the face of a man who sees the mathematics before the consequences.</t>
  </si>
  <si>
    <t>PO-008</t>
  </si>
  <si>
    <t>Vara</t>
  </si>
  <si>
    <t xml:space="preserve">Expressions: bright / wounded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</si>
  <si>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young human woman among elves: open face, quick eyes, plain clothes, quietly aware she must be twice as good.</t>
  </si>
  <si>
    <t>PO-009</t>
  </si>
  <si>
    <t xml:space="preserve">Durak Ironthought</t>
  </si>
  <si>
    <t xml:space="preserve">Expressions: dry / grave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</si>
  <si>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stout Terran geomancer: stone-grey skin, copper-ringed beard, patient mountain-deep eyes.</t>
  </si>
  <si>
    <t>PO-010</t>
  </si>
  <si>
    <t xml:space="preserve">Seravin Hollow-Water</t>
  </si>
  <si>
    <t xml:space="preserve">P1 memories</t>
  </si>
  <si>
    <t xml:space="preserve">Expressions: serene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</si>
  <si>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An elderly Noctari mentor, serene as still water, fading blue robes, kindness with edges.</t>
  </si>
  <si>
    <t>PO-011</t>
  </si>
  <si>
    <t>Corel</t>
  </si>
  <si>
    <t xml:space="preserve">Expressions: exhausted / alarmed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</si>
  <si>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An exhausted Noctari archmagister: dark-ringed eyes, formal collar askew, decency worn thin by duty.</t>
  </si>
  <si>
    <t>PO-012</t>
  </si>
  <si>
    <t xml:space="preserve">Expressions: stern / sorrowing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</si>
  <si>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An orc matriarch elder: iron-grey braids, judge's gaze, the revolution's conscience made flesh.</t>
  </si>
  <si>
    <t>PO-013</t>
  </si>
  <si>
    <t xml:space="preserve">Expressions: wry / afraid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</si>
  <si>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young orc courier: sharp-featured, hooded, a smile that covers fear.</t>
  </si>
  <si>
    <t>PO-014</t>
  </si>
  <si>
    <t xml:space="preserve">Generic set (officials, guards, folk)</t>
  </si>
  <si>
    <t xml:space="preserve">Both parts</t>
  </si>
  <si>
    <t xml:space="preserve">6-8 assorted busts</t>
  </si>
  <si>
    <t xml:space="preserve">Painted character portrait for RPG dialogue UI: bust framing, three-quarter view, dark-fantasy oil-painting style in the tradition of classic CRPG portraits, dramatic single-source lighting, plain very dark background, square composition. A varied set of dark-fantasy RPG portrait busts: elven official, overseer, guard, citizen, archivist, orc laborer - consistent painted style.</t>
  </si>
  <si>
    <t>EN-001</t>
  </si>
  <si>
    <t xml:space="preserve">Starfall — Academy exterior</t>
  </si>
  <si>
    <t xml:space="preserve">32px tileset sheet</t>
  </si>
  <si>
    <t xml:space="preserve">HD pixel art environment tileset reference sheet for a top-down 2D RPG, strict 32 px grid, Zelda: Minish Cap fidelity, dark fantasy. The Academy of Astral Harmony under a permanent starlit sky: slender crystal-and-darkstone towers, observatory domes, moon-bridges, silver lamp posts, courtyard gardens of night-blooming flora. Noctari (night elf) palette: deep indigo, violet, silver starlight accents. Sheet must include: ground/floor tiles, wall tiles with edge and corner pieces, and 8-10 signature props for the location, arranged neatly on a grid, unified palette, no anti-aliasing.</t>
  </si>
  <si>
    <t xml:space="preserve">Generate as reference sheet; rebuild clean tiles over it in Affinity (see AFFINITY PIPELINE).</t>
  </si>
  <si>
    <t>EN-002</t>
  </si>
  <si>
    <t xml:space="preserve">Academy interior — theory wings</t>
  </si>
  <si>
    <t xml:space="preserve">HD pixel art environment tileset reference sheet for a top-down 2D RPG, strict 32 px grid, Zelda: Minish Cap fidelity, dark fantasy. Lecture halls and libraries: tiered seating, chalk-slate glyph boards, book-lined walls, floating lamp orbs, long study tables. Sheet must include: ground/floor tiles, wall tiles with edge and corner pieces, and 8-10 signature props for the location, arranged neatly on a grid, unified palette, no anti-aliasing.</t>
  </si>
  <si>
    <t>EN-003</t>
  </si>
  <si>
    <t xml:space="preserve">Academy interior — containment halls</t>
  </si>
  <si>
    <t xml:space="preserve">HD pixel art environment tileset reference sheet for a top-down 2D RPG, strict 32 px grid, Zelda: Minish Cap fidelity, dark fantasy. Arcane research labs: warded stone floors with inlaid glyph circles, containment rigs, crystal capacitor arrays, observation galleries behind rune-glass. Sheet must include: ground/floor tiles, wall tiles with edge and corner pieces, and 8-10 signature props for the location, arranged neatly on a grid, unified palette, no anti-aliasing.</t>
  </si>
  <si>
    <t>EN-004</t>
  </si>
  <si>
    <t xml:space="preserve">Starfall — city streets</t>
  </si>
  <si>
    <t xml:space="preserve">HD pixel art environment tileset reference sheet for a top-down 2D RPG, strict 32 px grid, Zelda: Minish Cap fidelity, dark fantasy. Night-elf city quarter: canal-side streets, star-lamp posts, banners, market stalls, terraced darkstone housing. Noctari (night elf) palette: deep indigo, violet, silver starlight accents. Sheet must include: ground/floor tiles, wall tiles with edge and corner pieces, and 8-10 signature props for the location, arranged neatly on a grid, unified palette, no anti-aliasing.</t>
  </si>
  <si>
    <t>EN-005</t>
  </si>
  <si>
    <t xml:space="preserve">Starfall — common interiors</t>
  </si>
  <si>
    <t xml:space="preserve">HD pixel art environment tileset reference sheet for a top-down 2D RPG, strict 32 px grid, Zelda: Minish Cap fidelity, dark fantasy. Inn, shop and home interiors: hearths, counters, shelving, beds, kitchen clutter - lived-in night-elf domestic style. Sheet must include: ground/floor tiles, wall tiles with edge and corner pieces, and 8-10 signature props for the location, arranged neatly on a grid, unified palette, no anti-aliasing.</t>
  </si>
  <si>
    <t>EN-006</t>
  </si>
  <si>
    <t xml:space="preserve">Astra'Thalas — capital exterior</t>
  </si>
  <si>
    <t xml:space="preserve">P1 A3, P2 A3</t>
  </si>
  <si>
    <t xml:space="preserve">HD pixel art environment tileset reference sheet for a top-down 2D RPG, strict 32 px grid, Zelda: Minish Cap fidelity, dark fantasy. The Solari capital in solstice festival dress: white-gold avenues, sun-disc standards, triumphal stairs, fountains. Solari (sun elf) palette: radiant gold, ivory, white marble, dawn-orange accents. Sheet must include: ground/floor tiles, wall tiles with edge and corner pieces, and 8-10 signature props for the location, arranged neatly on a grid, unified palette, no anti-aliasing.</t>
  </si>
  <si>
    <t>EN-007</t>
  </si>
  <si>
    <t xml:space="preserve">Tower of Celestial Harmony — interior</t>
  </si>
  <si>
    <t xml:space="preserve">HD pixel art environment tileset reference sheet for a top-down 2D RPG, strict 32 px grid, Zelda: Minish Cap fidelity, dark fantasy. Vast gilded tower interiors: sun-shaft atriums, radiating galleries, ceremonial doors, ward-inscribed floors. Sheet must include: ground/floor tiles, wall tiles with edge and corner pieces, and 8-10 signature props for the location, arranged neatly on a grid, unified palette, no anti-aliasing.</t>
  </si>
  <si>
    <t>EN-008</t>
  </si>
  <si>
    <t xml:space="preserve">The Nullstone vault</t>
  </si>
  <si>
    <t xml:space="preserve">HD pixel art environment tileset reference sheet for a top-down 2D RPG, strict 32 px grid, Zelda: Minish Cap fidelity, dark fantasy. A deep sealed vault: concentric ward rings inlaid in black stone, pylon arrays, a central dais, oppressive stillness. Built to be used by BOTH protagonists. Sheet must include: ground/floor tiles, wall tiles with edge and corner pieces, and 8-10 signature props for the location, arranged neatly on a grid, unified palette, no anti-aliasing.</t>
  </si>
  <si>
    <t>EN-009</t>
  </si>
  <si>
    <t xml:space="preserve">Umbraveil — memory scenes</t>
  </si>
  <si>
    <t xml:space="preserve">HD pixel art environment tileset reference sheet for a top-down 2D RPG, strict 32 px grid, Zelda: Minish Cap fidelity, dark fantasy. A valley city of the two-hour sun: terraced shadow-gardens, deep-blue twilight, lantern rivers. Dreamlike softness. Noctari (night elf) palette: deep indigo, violet, silver starlight accents. Sheet must include: ground/floor tiles, wall tiles with edge and corner pieces, and 8-10 signature props for the location, arranged neatly on a grid, unified palette, no anti-aliasing.</t>
  </si>
  <si>
    <t>EN-010</t>
  </si>
  <si>
    <t xml:space="preserve">The Ashpile — birth-camp</t>
  </si>
  <si>
    <t xml:space="preserve">HD pixel art environment tileset reference sheet for a top-down 2D RPG, strict 32 px grid, Zelda: Minish Cap fidelity, dark fantasy. An orc labor camp on a slag plain: lean-to shacks, ash drifts, chain-line posts, quarry pits, watchtowers. orc/Ashpile palette: ash grey, iron, rust, ember orange. Sheet must include: ground/floor tiles, wall tiles with edge and corner pieces, and 8-10 signature props for the location, arranged neatly on a grid, unified palette, no anti-aliasing.</t>
  </si>
  <si>
    <t>EN-011</t>
  </si>
  <si>
    <t xml:space="preserve">Black Crag — the last stand</t>
  </si>
  <si>
    <t xml:space="preserve">HD pixel art environment tileset reference sheet for a top-down 2D RPG, strict 32 px grid, Zelda: Minish Cap fidelity, dark fantasy. A shattered basalt fortress-crag: broken palisades, burnt banners, scree slopes. For vision/flashback scenes - can be sparse. Sheet must include: ground/floor tiles, wall tiles with edge and corner pieces, and 8-10 signature props for the location, arranged neatly on a grid, unified palette, no anti-aliasing.</t>
  </si>
  <si>
    <t>EN-012</t>
  </si>
  <si>
    <t xml:space="preserve">Research facility — labor floors</t>
  </si>
  <si>
    <t xml:space="preserve">HD pixel art environment tileset reference sheet for a top-down 2D RPG, strict 32 px grid, Zelda: Minish Cap fidelity, dark fantasy. Elven arcano-industrial facility: crystal furnaces, ore lifts, chain hoists, glyph-stamped machinery, catwalks - grandeur built on labor. Sheet must include: ground/floor tiles, wall tiles with edge and corner pieces, and 8-10 signature props for the location, arranged neatly on a grid, unified palette, no anti-aliasing.</t>
  </si>
  <si>
    <t>EN-013</t>
  </si>
  <si>
    <t xml:space="preserve">Archives of Astral Wisdom</t>
  </si>
  <si>
    <t xml:space="preserve">HD pixel art environment tileset reference sheet for a top-down 2D RPG, strict 32 px grid, Zelda: Minish Cap fidelity, dark fantasy. A cathedral of records: canyon shelves of scrolls and ledgers, rolling ladders, reading alcoves, lantern-staffs, restricted stacks behind ward-gates. Sheet must include: ground/floor tiles, wall tiles with edge and corner pieces, and 8-10 signature props for the location, arranged neatly on a grid, unified palette, no anti-aliasing.</t>
  </si>
  <si>
    <t>EN-014</t>
  </si>
  <si>
    <t xml:space="preserve">Lunaris — Talindir's study</t>
  </si>
  <si>
    <t>Coda</t>
  </si>
  <si>
    <t xml:space="preserve">HD pixel art environment tileset reference sheet for a top-down 2D RPG, strict 32 px grid, Zelda: Minish Cap fidelity, dark fantasy. A small moonlit scriptorium in exile: one desk, one lamp, sealed document chests, a window on a quiet sea. Sheet must include: ground/floor tiles, wall tiles with edge and corner pieces, and 8-10 signature props for the location, arranged neatly on a grid, unified palette, no anti-aliasing.</t>
  </si>
  <si>
    <t>EN-015</t>
  </si>
  <si>
    <t xml:space="preserve">Vision space (crossing points)</t>
  </si>
  <si>
    <t xml:space="preserve">HD pixel art environment tileset reference sheet for a top-down 2D RPG, strict 32 px grid, Zelda: Minish Cap fidelity, dark fantasy. An abstract dream-terrain for memory/vision scenes: floating fragments of the other timeline's rooms, star-void gaps, desaturated except one accent color. Sheet must include: ground/floor tiles, wall tiles with edge and corner pieces, and 8-10 signature props for the location, arranged neatly on a grid, unified palette, no anti-aliasing.</t>
  </si>
  <si>
    <t>EN-016</t>
  </si>
  <si>
    <t xml:space="preserve">The Same Night — city backdrops</t>
  </si>
  <si>
    <t xml:space="preserve">Cold Open</t>
  </si>
  <si>
    <t xml:space="preserve">HD pixel art environment tileset reference sheet for a top-down 2D RPG, strict 32 px grid, Zelda: Minish Cap fidelity, dark fantasy. Astra'Thalas at the moment magic dies: festival lights guttering out street by street, panic in gold avenues, the Tower dark against a starless sky. Sheet must include: ground/floor tiles, wall tiles with edge and corner pieces, and 8-10 signature props for the location, arranged neatly on a grid, unified palette, no anti-aliasing.</t>
  </si>
  <si>
    <t>PR-001</t>
  </si>
  <si>
    <t xml:space="preserve">The Nullstone — prototype</t>
  </si>
  <si>
    <t xml:space="preserve">P1 Act II</t>
  </si>
  <si>
    <t xml:space="preserve">32px grid multiples</t>
  </si>
  <si>
    <t xml:space="preserve">States noted in description</t>
  </si>
  <si>
    <t xml:space="preserve">HD pixel art object sprite for a top-down 2D RPG, 32 px grid scale, dark fantasy, clean silhouette, unified palette, no anti-aliasing, flat solid magenta background. A rough-hewn obsidian-like stone the size of a heart, half-caged in a brass calibration frame, faint unlight seams. Hero prop.</t>
  </si>
  <si>
    <t>PR-002</t>
  </si>
  <si>
    <t xml:space="preserve">The Nullstone — complete</t>
  </si>
  <si>
    <t xml:space="preserve">HD pixel art object sprite for a top-down 2D RPG, 32 px grid scale, dark fantasy, clean silhouette, unified palette, no anti-aliasing, flat solid magenta background. A perfect seamless black stone that seems to drink light, resting on a warded dais. THE central object of the franchise - iconic, simple, wrong-feeling.</t>
  </si>
  <si>
    <t>PR-003</t>
  </si>
  <si>
    <t xml:space="preserve">The Nullstone — activated</t>
  </si>
  <si>
    <t xml:space="preserve">HD pixel art object sprite for a top-down 2D RPG, 32 px grid scale, dark fantasy, clean silhouette, unified palette, no anti-aliasing, flat solid magenta background. The same black stone erupting with expanding rings of un-light: colors dying outward from it in bands. Frame for the activation moment.</t>
  </si>
  <si>
    <t>PR-004</t>
  </si>
  <si>
    <t xml:space="preserve">Containment rig set</t>
  </si>
  <si>
    <t xml:space="preserve">HD pixel art object sprite for a top-down 2D RPG, 32 px grid scale, dark fantasy, clean silhouette, unified palette, no anti-aliasing, flat solid magenta background. Arcane lab apparatus: crystal capacitor stacks, brass armature frames, glyph projectors, cable-vines of silver wire. 5-6 pieces.</t>
  </si>
  <si>
    <t>PR-005</t>
  </si>
  <si>
    <t xml:space="preserve">Aether Ring display</t>
  </si>
  <si>
    <t xml:space="preserve">HD pixel art object sprite for a top-down 2D RPG, 32 px grid scale, dark fantasy, clean silhouette, unified palette, no anti-aliasing, flat solid magenta background. A ring pedestal displaying a bonded Aether Ring: slim band with a live essence gem, under rune-glass.</t>
  </si>
  <si>
    <t>PR-006</t>
  </si>
  <si>
    <t xml:space="preserve">Essence crystal set</t>
  </si>
  <si>
    <t xml:space="preserve">HD pixel art object sprite for a top-down 2D RPG, 32 px grid scale, dark fantasy, clean silhouette, unified palette, no anti-aliasing, flat solid magenta background. 6 essence crystals in distinct colors (ember, tide, stone, gale, shade, radiant), raw and socketed variants.</t>
  </si>
  <si>
    <t>PR-007</t>
  </si>
  <si>
    <t xml:space="preserve">Bookshelf &amp; scroll rack set</t>
  </si>
  <si>
    <t xml:space="preserve">P1, P2</t>
  </si>
  <si>
    <t xml:space="preserve">HD pixel art object sprite for a top-down 2D RPG, 32 px grid scale, dark fantasy, clean silhouette, unified palette, no anti-aliasing, flat solid magenta background. Library furniture: tall shelves (full/half-empty), scroll pigeonhole racks, rolling ladder, reading lectern, book stacks.</t>
  </si>
  <si>
    <t>PR-008</t>
  </si>
  <si>
    <t xml:space="preserve">Documents set (world sprites)</t>
  </si>
  <si>
    <t xml:space="preserve">HD pixel art object sprite for a top-down 2D RPG, 32 px grid scale, dark fantasy, clean silhouette, unified palette, no anti-aliasing, flat solid magenta background. Placeable paper props: single scroll, opened letter, bound journal, schematic sheet, ledger, sealed envelope, burnt fragment.</t>
  </si>
  <si>
    <t>PR-009</t>
  </si>
  <si>
    <t xml:space="preserve">Elorin's journal (hero prop)</t>
  </si>
  <si>
    <t xml:space="preserve">HD pixel art object sprite for a top-down 2D RPG, 32 px grid scale, dark fantasy, clean silhouette, unified palette, no anti-aliasing, flat solid magenta background. A distinctive indigo-bound journal with a silver void-glyph clasp - must read at 32px. Appears in both centuries.</t>
  </si>
  <si>
    <t>PR-010</t>
  </si>
  <si>
    <t xml:space="preserve">Safeguard schematic (hero prop)</t>
  </si>
  <si>
    <t xml:space="preserve">HD pixel art object sprite for a top-down 2D RPG, 32 px grid scale, dark fantasy, clean silhouette, unified palette, no anti-aliasing, flat solid magenta background. A large unrolled vault schematic: three concentric ward-ring designs, annotated margins. The Legacy System's key document.</t>
  </si>
  <si>
    <t>PR-011</t>
  </si>
  <si>
    <t xml:space="preserve">Orc machine — crystal furnace</t>
  </si>
  <si>
    <t xml:space="preserve">HD pixel art object sprite for a top-down 2D RPG, 32 px grid scale, dark fantasy, clean silhouette, unified palette, no anti-aliasing, flat solid magenta background. An arcano-industrial furnace: iron bulk, crystal fire-heart, chain feeds, glyph pressure dials, soot staining.</t>
  </si>
  <si>
    <t>PR-012</t>
  </si>
  <si>
    <t xml:space="preserve">Orc machine — ore lift &amp; hoist</t>
  </si>
  <si>
    <t xml:space="preserve">HD pixel art object sprite for a top-down 2D RPG, 32 px grid scale, dark fantasy, clean silhouette, unified palette, no anti-aliasing, flat solid magenta background. Chain-driven ore lift: winch drum, counterweights, hanging cage platform, hand-crank station.</t>
  </si>
  <si>
    <t>PR-013</t>
  </si>
  <si>
    <t xml:space="preserve">Orc machine — quarry cart &amp; rails</t>
  </si>
  <si>
    <t xml:space="preserve">HD pixel art object sprite for a top-down 2D RPG, 32 px grid scale, dark fantasy, clean silhouette, unified palette, no anti-aliasing, flat solid magenta background. Mine cart on rails set: loaded/empty carts, rail straights and curves, buffer stop.</t>
  </si>
  <si>
    <t>PR-014</t>
  </si>
  <si>
    <t xml:space="preserve">Chains &amp; shackles set</t>
  </si>
  <si>
    <t xml:space="preserve">HD pixel art object sprite for a top-down 2D RPG, 32 px grid scale, dark fantasy, clean silhouette, unified palette, no anti-aliasing, flat solid magenta background. Wall chain mounts, floor rings, shackle pairs, a chain-line post, a broken chain (the rebellion's motif).</t>
  </si>
  <si>
    <t>PR-015</t>
  </si>
  <si>
    <t xml:space="preserve">Academy furniture set</t>
  </si>
  <si>
    <t xml:space="preserve">HD pixel art object sprite for a top-down 2D RPG, 32 px grid scale, dark fantasy, clean silhouette, unified palette, no anti-aliasing, flat solid magenta background. Desks, lecterns, glyph chalkboards, floating lamp orbs, star-chart globes, potted night-flora.</t>
  </si>
  <si>
    <t>PR-016</t>
  </si>
  <si>
    <t xml:space="preserve">Starfall street furniture</t>
  </si>
  <si>
    <t xml:space="preserve">HD pixel art object sprite for a top-down 2D RPG, 32 px grid scale, dark fantasy, clean silhouette, unified palette, no anti-aliasing, flat solid magenta background. Silver star-lamps, canal bridges, market stalls, hanging banners, fountains, bench sets.</t>
  </si>
  <si>
    <t>PR-017</t>
  </si>
  <si>
    <t xml:space="preserve">Solari infrastructure set</t>
  </si>
  <si>
    <t xml:space="preserve">HD pixel art object sprite for a top-down 2D RPG, 32 px grid scale, dark fantasy, clean silhouette, unified palette, no anti-aliasing, flat solid magenta background. Sun-braziers, gilded gates, sun-disc statues, triumphal columns, festival garlands.</t>
  </si>
  <si>
    <t>PR-018</t>
  </si>
  <si>
    <t xml:space="preserve">Vault ward pylons — 3 schemes</t>
  </si>
  <si>
    <t xml:space="preserve">HD pixel art object sprite for a top-down 2D RPG, 32 px grid scale, dark fantasy, clean silhouette, unified palette, no anti-aliasing, flat solid magenta background. THREE visually distinct ward pylon designs (lattice / orbit / seal), each with active and dormant states - the player's Part One safeguard choice made visible.</t>
  </si>
  <si>
    <t>PR-019</t>
  </si>
  <si>
    <t xml:space="preserve">Vault seal door</t>
  </si>
  <si>
    <t xml:space="preserve">HD pixel art object sprite for a top-down 2D RPG, 32 px grid scale, dark fantasy, clean silhouette, unified palette, no anti-aliasing, flat solid magenta background. A massive circular vault door of black stone and silver rings, closed / ajar / open states.</t>
  </si>
  <si>
    <t>PR-020</t>
  </si>
  <si>
    <t xml:space="preserve">Doors &amp; containers set</t>
  </si>
  <si>
    <t xml:space="preserve">HD pixel art object sprite for a top-down 2D RPG, 32 px grid scale, dark fantasy, clean silhouette, unified palette, no anti-aliasing, flat solid magenta background. Standard interaction set: wooden/stone/warded doors, chests, cabinets, crates, urns - closed and open states.</t>
  </si>
  <si>
    <t>PR-021</t>
  </si>
  <si>
    <t xml:space="preserve">Festival solstice decorations</t>
  </si>
  <si>
    <t xml:space="preserve">Cold Open, Act IIIs</t>
  </si>
  <si>
    <t xml:space="preserve">HD pixel art object sprite for a top-down 2D RPG, 32 px grid scale, dark fantasy, clean silhouette, unified palette, no anti-aliasing, flat solid magenta background. Solstice festival set: light-garlands, sun-and-moon standards, ribbon poles, feast tables.</t>
  </si>
  <si>
    <t>PR-022</t>
  </si>
  <si>
    <t xml:space="preserve">Rubble &amp; aftermath set</t>
  </si>
  <si>
    <t xml:space="preserve">HD pixel art object sprite for a top-down 2D RPG, 32 px grid scale, dark fantasy, clean silhouette, unified palette, no anti-aliasing, flat solid magenta background. Post-catastrophe set: collapsed masonry, dead crystal shards (grey), fallen banners, cold braziers.</t>
  </si>
  <si>
    <t>PR-023</t>
  </si>
  <si>
    <t xml:space="preserve">Stairs, ladders, catwalks</t>
  </si>
  <si>
    <t xml:space="preserve">HD pixel art object sprite for a top-down 2D RPG, 32 px grid scale, dark fantasy, clean silhouette, unified palette, no anti-aliasing, flat solid magenta background. Vertical traversal set: stone stairs (4 orientations), wooden ladders, facility catwalk segments.</t>
  </si>
  <si>
    <t>PR-024</t>
  </si>
  <si>
    <t xml:space="preserve">Lighting FX sprites</t>
  </si>
  <si>
    <t xml:space="preserve">HD pixel art object sprite for a top-down 2D RPG, 32 px grid scale, dark fantasy, clean silhouette, unified palette, no anti-aliasing, flat solid magenta background. Glow overlays: lamp halos, crystal shimmer, ward-ring pulse frames, the Nullstone's un-light ring (3-frame loop).</t>
  </si>
  <si>
    <t>IT-001</t>
  </si>
  <si>
    <t xml:space="preserve">Document icons (6)</t>
  </si>
  <si>
    <t xml:space="preserve">32x32 px</t>
  </si>
  <si>
    <t xml:space="preserve">letter / journal / schematic / ledger / sealed writ / burnt fragment</t>
  </si>
  <si>
    <t xml:space="preserve">Pixel art inventory item icon, exactly 32x32 px, readable at small size, subtle rim light, dark-fantasy RPG style, flat solid magenta background. Six paper-document icons, each silhouette distinct: folded letter, bound journal, rolled schematic, ledger, wax-sealed writ, charred fragment.</t>
  </si>
  <si>
    <t>IT-002</t>
  </si>
  <si>
    <t xml:space="preserve">Key icons (3 tiers)</t>
  </si>
  <si>
    <t xml:space="preserve">iron / silver / warded</t>
  </si>
  <si>
    <t xml:space="preserve">Pixel art inventory item icon, exactly 32x32 px, readable at small size, subtle rim light, dark-fantasy RPG style, flat solid magenta background. Three keys of ascending importance: plain iron, silver academy key, black warded vault key with glyph bow.</t>
  </si>
  <si>
    <t>IT-003</t>
  </si>
  <si>
    <t xml:space="preserve">Keepsake — Elorin's pendant</t>
  </si>
  <si>
    <t xml:space="preserve">Pixel art inventory item icon, exactly 32x32 px, readable at small size, subtle rim light, dark-fantasy RPG style, flat solid magenta background. A small silver pendant holding a chip of Umbraveil twilight-crystal on a worn cord.</t>
  </si>
  <si>
    <t>IT-004</t>
  </si>
  <si>
    <t xml:space="preserve">Keepsake — the first stolen book</t>
  </si>
  <si>
    <t xml:space="preserve">Pixel art inventory item icon, exactly 32x32 px, readable at small size, subtle rim light, dark-fantasy RPG style, flat solid magenta background. A small battered elven primer, spine broken from hiding, corner scorched - the book Grakkar learned to read from.</t>
  </si>
  <si>
    <t>IT-005</t>
  </si>
  <si>
    <t xml:space="preserve">Scribe kit</t>
  </si>
  <si>
    <t xml:space="preserve">Pixel art inventory item icon, exactly 32x32 px, readable at small size, subtle rim light, dark-fantasy RPG style, flat solid magenta background. A compact writing kit: quills, ink pot, blotting cloth in a leather roll.</t>
  </si>
  <si>
    <t>IT-006</t>
  </si>
  <si>
    <t xml:space="preserve">Geomancer's chisel</t>
  </si>
  <si>
    <t xml:space="preserve">Pixel art inventory item icon, exactly 32x32 px, readable at small size, subtle rim light, dark-fantasy RPG style, flat solid magenta background. A rune-etched stone-carving chisel with copper banding - Durak's craft.</t>
  </si>
  <si>
    <t>IT-007</t>
  </si>
  <si>
    <t xml:space="preserve">Lockcharm set</t>
  </si>
  <si>
    <t xml:space="preserve">Pixel art inventory item icon, exactly 32x32 px, readable at small size, subtle rim light, dark-fantasy RPG style, flat solid magenta background. Improvised infiltration tools: bent-wire picks and a bone lock-charm on a thong.</t>
  </si>
  <si>
    <t>IT-008</t>
  </si>
  <si>
    <t xml:space="preserve">Trade pieces</t>
  </si>
  <si>
    <t xml:space="preserve">coin stack / favor token / ration chit</t>
  </si>
  <si>
    <t xml:space="preserve">Pixel art inventory item icon, exactly 32x32 px, readable at small size, subtle rim light, dark-fantasy RPG style, flat solid magenta background. Three small economy icons: elven coin stack, carved wooden favor token, stamped labor ration chit.</t>
  </si>
  <si>
    <t>IT-009</t>
  </si>
  <si>
    <t xml:space="preserve">Aether Ring icon</t>
  </si>
  <si>
    <t xml:space="preserve">Pixel art inventory item icon, exactly 32x32 px, readable at small size, subtle rim light, dark-fantasy RPG style, flat solid magenta background. A slim ring with a live essence gem, faint aura.</t>
  </si>
  <si>
    <t>IT-010</t>
  </si>
  <si>
    <t xml:space="preserve">Essence crystal icons (6)</t>
  </si>
  <si>
    <t xml:space="preserve">6 colors</t>
  </si>
  <si>
    <t xml:space="preserve">Pixel art inventory item icon, exactly 32x32 px, readable at small size, subtle rim light, dark-fantasy RPG style, flat solid magenta background. Six pocket essence crystals matching the world set: ember, tide, stone, gale, shade, radiant.</t>
  </si>
  <si>
    <t>IT-011</t>
  </si>
  <si>
    <t xml:space="preserve">Calming draught</t>
  </si>
  <si>
    <t xml:space="preserve">Pixel art inventory item icon, exactly 32x32 px, readable at small size, subtle rim light, dark-fantasy RPG style, flat solid magenta background. A small stoppered vial of moon-pale liquid - reduces Mental Strain.</t>
  </si>
  <si>
    <t>IT-012</t>
  </si>
  <si>
    <t>Lantern</t>
  </si>
  <si>
    <t xml:space="preserve">Pixel art inventory item icon, exactly 32x32 px, readable at small size, subtle rim light, dark-fantasy RPG style, flat solid magenta background. A hooded archive lantern with shutter - reading in the dark.</t>
  </si>
  <si>
    <t>IT-013</t>
  </si>
  <si>
    <t xml:space="preserve">Clothing set — Elorin (4)</t>
  </si>
  <si>
    <t xml:space="preserve">academy / formal / lab / travel</t>
  </si>
  <si>
    <t xml:space="preserve">Pixel art inventory item icon, exactly 32x32 px, readable at small size, subtle rim light, dark-fantasy RPG style, flat solid magenta background. Four folded-garment icons: academy robes, Conclave formal, warded lab coat, travel cloak - clothing is social access.</t>
  </si>
  <si>
    <t>IT-014</t>
  </si>
  <si>
    <t xml:space="preserve">Clothing set — Grakkar (4)</t>
  </si>
  <si>
    <t xml:space="preserve">laborer / archive disguise / rebel leathers / the Night</t>
  </si>
  <si>
    <t xml:space="preserve">Pixel art inventory item icon, exactly 32x32 px, readable at small size, subtle rim light, dark-fantasy RPG style, flat solid magenta background. Four folded-garment icons: laborer garb, archivist disguise robes, rebel leathers, the Night's dark harness.</t>
  </si>
  <si>
    <t>IT-015</t>
  </si>
  <si>
    <t xml:space="preserve">Quest tokens (misc, 8)</t>
  </si>
  <si>
    <t xml:space="preserve">batch of 8</t>
  </si>
  <si>
    <t xml:space="preserve">Pixel art inventory item icon, exactly 32x32 px, readable at small size, subtle rim light, dark-fantasy RPG style, flat solid magenta background. Eight assorted small quest items: signet ring, star chart, crystal shard, iron collar fragment, sealed vial, ward chalk, message tube, dried night-bloom.</t>
  </si>
  <si>
    <t>IT-016</t>
  </si>
  <si>
    <t xml:space="preserve">The vault key-rod (hero item)</t>
  </si>
  <si>
    <t xml:space="preserve">Pixel art inventory item icon, exactly 32x32 px, readable at small size, subtle rim light, dark-fantasy RPG style, flat solid magenta background. A forearm-length black rod of layered silver rings - the activation instrument. Must feel ceremonial and wrong.</t>
  </si>
  <si>
    <t>UI-001</t>
  </si>
  <si>
    <t xml:space="preserve">Dialogue box (9-slice)</t>
  </si>
  <si>
    <t>Global</t>
  </si>
  <si>
    <t xml:space="preserve">PNG @2x, transparent</t>
  </si>
  <si>
    <t xml:space="preserve">2D RPG user-interface element, dark-fantasy illuminated-manuscript aesthetic: aged parchment textures, deep indigo and antique gold accents, subtle arcane filigree, clean edges that scale well, flat solid background. A dialogue panel frame as a 9-slice: aged parchment field, indigo-and-gold border filigree, corner flourishes, clean center.</t>
  </si>
  <si>
    <t>UI-002</t>
  </si>
  <si>
    <t xml:space="preserve">Portrait frame</t>
  </si>
  <si>
    <t xml:space="preserve">2 variants (Elorin indigo / Grakkar iron)</t>
  </si>
  <si>
    <t xml:space="preserve">2D RPG user-interface element, dark-fantasy illuminated-manuscript aesthetic: aged parchment textures, deep indigo and antique gold accents, subtle arcane filigree, clean edges that scale well, flat solid background. A square portrait frame with subtle arcane filigree corners.</t>
  </si>
  <si>
    <t>UI-003</t>
  </si>
  <si>
    <t xml:space="preserve">Choice buttons</t>
  </si>
  <si>
    <t xml:space="preserve">normal / hover / pressed / locked</t>
  </si>
  <si>
    <t xml:space="preserve">2D RPG user-interface element, dark-fantasy illuminated-manuscript aesthetic: aged parchment textures, deep indigo and antique gold accents, subtle arcane filigree, clean edges that scale well, flat solid background. A dialogue choice button bar in four states, parchment field with gold edge, locked state shows a small glyph padlock.</t>
  </si>
  <si>
    <t>UI-004</t>
  </si>
  <si>
    <t xml:space="preserve">Attribute glyphs (7)</t>
  </si>
  <si>
    <t>Vigor/Resilience/Celerity/Arcana/Acumen/Magnetism/Fortune</t>
  </si>
  <si>
    <t xml:space="preserve">2D RPG user-interface element, dark-fantasy illuminated-manuscript aesthetic: aged parchment textures, deep indigo and antique gold accents, subtle arcane filigree, clean edges that scale well, flat solid background. Seven small single-color glyph icons for RPG attributes, consistent stroke weight, readable at 16px: flame-heart, shield-knot, wing-heel, void-eye, open book, clasped hands, coin-star.</t>
  </si>
  <si>
    <t>UI-005</t>
  </si>
  <si>
    <t xml:space="preserve">Skill-check tags</t>
  </si>
  <si>
    <t xml:space="preserve">pass / fail / hidden variants</t>
  </si>
  <si>
    <t xml:space="preserve">2D RPG user-interface element, dark-fantasy illuminated-manuscript aesthetic: aged parchment textures, deep indigo and antique gold accents, subtle arcane filigree, clean edges that scale well, flat solid background. Small inline dialogue tags: bracketed attribute chip with glyph slot and number field.</t>
  </si>
  <si>
    <t>UI-006</t>
  </si>
  <si>
    <t xml:space="preserve">Mental Strain meter</t>
  </si>
  <si>
    <t xml:space="preserve">5 fill states</t>
  </si>
  <si>
    <t xml:space="preserve">2D RPG user-interface element, dark-fantasy illuminated-manuscript aesthetic: aged parchment textures, deep indigo and antique gold accents, subtle arcane filigree, clean edges that scale well, flat solid background. A vertical strain gauge like a cracking glass vial: calm silver-blue filling to fevered violet, hairline cracks appearing at high fill.</t>
  </si>
  <si>
    <t>UI-007</t>
  </si>
  <si>
    <t xml:space="preserve">Character sheet panel</t>
  </si>
  <si>
    <t xml:space="preserve">2D RPG user-interface element, dark-fantasy illuminated-manuscript aesthetic: aged parchment textures, deep indigo and antique gold accents, subtle arcane filigree, clean edges that scale well, flat solid background. A full-screen character sheet: illuminated-manuscript page layout with portrait slot, seven attribute rows, class crest slot, perk cartouches.</t>
  </si>
  <si>
    <t>UI-008</t>
  </si>
  <si>
    <t xml:space="preserve">Inventory panel</t>
  </si>
  <si>
    <t xml:space="preserve">2D RPG user-interface element, dark-fantasy illuminated-manuscript aesthetic: aged parchment textures, deep indigo and antique gold accents, subtle arcane filigree, clean edges that scale well, flat solid background. An inventory screen: parchment page with a 6x4 slot grid of recessed squares, item-detail side column.</t>
  </si>
  <si>
    <t>UI-009</t>
  </si>
  <si>
    <t xml:space="preserve">Journal / quest log</t>
  </si>
  <si>
    <t xml:space="preserve">2D RPG user-interface element, dark-fantasy illuminated-manuscript aesthetic: aged parchment textures, deep indigo and antique gold accents, subtle arcane filigree, clean edges that scale well, flat solid background. A quest journal spread: two-page open book, ribbon bookmarks as tabs, entry lines with small glyph bullets.</t>
  </si>
  <si>
    <t>UI-010</t>
  </si>
  <si>
    <t xml:space="preserve">Legacy Ledger UI</t>
  </si>
  <si>
    <t xml:space="preserve">2D RPG user-interface element, dark-fantasy illuminated-manuscript aesthetic: aged parchment textures, deep indigo and antique gold accents, subtle arcane filigree, clean edges that scale well, flat solid background. A chronicle-style ledger interface: columned entries in two inks (indigo for Part One deeds, rust for Part Two echoes), connecting threads drawn between them.</t>
  </si>
  <si>
    <t>UI-011</t>
  </si>
  <si>
    <t xml:space="preserve">Main menu key art</t>
  </si>
  <si>
    <t xml:space="preserve">2D RPG user-interface element, dark-fantasy illuminated-manuscript aesthetic: aged parchment textures, deep indigo and antique gold accents, subtle arcane filigree, clean edges that scale well, flat solid background. Key art: the Tower of Celestial Harmony silhouetted at the instant the lights die - one half of the sky festival-gold, the other starless black, a tiny figure at the base.</t>
  </si>
  <si>
    <t>UI-012</t>
  </si>
  <si>
    <t xml:space="preserve">Title logo — KAYOS: The Night of Silence</t>
  </si>
  <si>
    <t xml:space="preserve">2D RPG user-interface element, dark-fantasy illuminated-manuscript aesthetic: aged parchment textures, deep indigo and antique gold accents, subtle arcane filigree, clean edges that scale well, flat solid background. A game logo: the word KAYOS in bold carved-stone serif capitals with a hairline gold inlay, subtitle 'The Night of Silence' in elegant elven-flavored script beneath, on transparent background.</t>
  </si>
  <si>
    <t xml:space="preserve">Also deliver monochrome variant.</t>
  </si>
  <si>
    <t>UI-013</t>
  </si>
  <si>
    <t xml:space="preserve">Act / era title cards</t>
  </si>
  <si>
    <t xml:space="preserve">6 cards</t>
  </si>
  <si>
    <t xml:space="preserve">2D RPG user-interface element, dark-fantasy illuminated-manuscript aesthetic: aged parchment textures, deep indigo and antique gold accents, subtle arcane filigree, clean edges that scale well, flat solid background. Six full-width chapter title plates in illuminated-manuscript style with era dates, ornamental rules, small central glyph.</t>
  </si>
  <si>
    <t>UI-014</t>
  </si>
  <si>
    <t xml:space="preserve">Save/load slot cards</t>
  </si>
  <si>
    <t xml:space="preserve">2D RPG user-interface element, dark-fantasy illuminated-manuscript aesthetic: aged parchment textures, deep indigo and antique gold accents, subtle arcane filigree, clean edges that scale well, flat solid background. Save slot cards styled as wax-sealed chronicle pages with thumbnail window and date line.</t>
  </si>
  <si>
    <t>UI-015</t>
  </si>
  <si>
    <t xml:space="preserve">Cursor &amp; indicator set</t>
  </si>
  <si>
    <t xml:space="preserve">cursor / talk / examine / take / exit</t>
  </si>
  <si>
    <t xml:space="preserve">2D RPG user-interface element, dark-fantasy illuminated-manuscript aesthetic: aged parchment textures, deep indigo and antique gold accents, subtle arcane filigree, clean edges that scale well, flat solid background. A small interaction icon set, single-color with gold accent, readable at 16px.</t>
  </si>
  <si>
    <t>UI-016</t>
  </si>
  <si>
    <t xml:space="preserve">Settings &amp; system icons</t>
  </si>
  <si>
    <t xml:space="preserve">8-10 icons</t>
  </si>
  <si>
    <t xml:space="preserve">2D RPG user-interface element, dark-fantasy illuminated-manuscript aesthetic: aged parchment textures, deep indigo and antique gold accents, subtle arcane filigree, clean edges that scale well, flat solid background. Small UI icon set: gear, speaker, music note, window, keyboard, question, back arrow, quit door - consistent stroke.</t>
  </si>
  <si>
    <t>UI-017</t>
  </si>
  <si>
    <t xml:space="preserve">Vision transition overlay</t>
  </si>
  <si>
    <t xml:space="preserve">2D RPG user-interface element, dark-fantasy illuminated-manuscript aesthetic: aged parchment textures, deep indigo and antique gold accents, subtle arcane filigree, clean edges that scale well, flat solid background. A screen-edge vignette overlay of creeping star-void and drifting glyph fragments, for entering crossing-point visions.</t>
  </si>
  <si>
    <t>UI-018</t>
  </si>
  <si>
    <t xml:space="preserve">Toast / notification chips</t>
  </si>
  <si>
    <t xml:space="preserve">quest / item / legacy flag</t>
  </si>
  <si>
    <t xml:space="preserve">2D RPG user-interface element, dark-fantasy illuminated-manuscript aesthetic: aged parchment textures, deep indigo and antique gold accents, subtle arcane filigree, clean edges that scale well, flat solid background. Three small notification chips: quest quill, item satchel, and a distinct 'the ledger remembers' seal for Legacy flags.</t>
  </si>
  <si>
    <t>VS-001</t>
  </si>
  <si>
    <t xml:space="preserve">Cold Open — the lights die</t>
  </si>
  <si>
    <t xml:space="preserve">1920x1080 (16:9)</t>
  </si>
  <si>
    <t xml:space="preserve">Full-screen illustrated story panel for a dark-fantasy RPG: painterly digital art, cinematic composition, moody volumetric lighting, 16:9 aspect. From a high balcony of a gold festival city at night, lights are going out district by district in a spreading wave toward the viewer; a young elf scribe grips the rail, ledger under one arm.</t>
  </si>
  <si>
    <t xml:space="preserve">Painterly, NOT pixel art - deliberate register shift for visions.</t>
  </si>
  <si>
    <t>VS-002</t>
  </si>
  <si>
    <t xml:space="preserve">Crossing Point — the glance</t>
  </si>
  <si>
    <t xml:space="preserve">P1 &amp; P2</t>
  </si>
  <si>
    <t xml:space="preserve">Full-screen illustrated story panel for a dark-fantasy RPG: painterly digital art, cinematic composition, moody volumetric lighting, 16:9 aspect. A crowded elven facility hall: a robed Noctari woman and a young collared orc laborer lock eyes for one second across the crowd - everything else soft, the sightline sharp.</t>
  </si>
  <si>
    <t>VS-003</t>
  </si>
  <si>
    <t xml:space="preserve">Crossing Point — the reader</t>
  </si>
  <si>
    <t xml:space="preserve">Full-screen illustrated story panel for a dark-fantasy RPG: painterly digital art, cinematic composition, moody volumetric lighting, 16:9 aspect. Deep archive alcove at lantern-light: a massive orc hunched over a small indigo journal, one finger under a line of elven script, tears or fury held at the jaw - ambiguous.</t>
  </si>
  <si>
    <t>VS-004</t>
  </si>
  <si>
    <t xml:space="preserve">Crossing Point — the Same Night (Elorin side)</t>
  </si>
  <si>
    <t xml:space="preserve">Full-screen illustrated story panel for a dark-fantasy RPG: painterly digital art, cinematic composition, moody volumetric lighting, 16:9 aspect. A distant coastline at night: an exiled elven woman turns at the moment the horizon's city-glow behind her simply stops.</t>
  </si>
  <si>
    <t>VS-005</t>
  </si>
  <si>
    <t xml:space="preserve">Crossing Point — the Same Night (Grakkar side)</t>
  </si>
  <si>
    <t xml:space="preserve">Full-screen illustrated story panel for a dark-fantasy RPG: painterly digital art, cinematic composition, moody volumetric lighting, 16:9 aspect. Inside the vault: an orc's scarred hand resting on a ringed black rod seated in a dais, ward-rings dying around him like settling dust, his face lit from below by the last light in the world.</t>
  </si>
  <si>
    <t>VS-006</t>
  </si>
  <si>
    <t xml:space="preserve">Northreach — the Tear</t>
  </si>
  <si>
    <t xml:space="preserve">Full-screen illustrated story panel for a dark-fantasy RPG: painterly digital art, cinematic composition, moody volumetric lighting, 16:9 aspect. A northern town split by a wound in the air itself: raw wild magic pouring upward like an inverted waterfall, tiny figures fleeing, snow burning.</t>
  </si>
  <si>
    <t>VS-007</t>
  </si>
  <si>
    <t xml:space="preserve">Black Crag falls</t>
  </si>
  <si>
    <t xml:space="preserve">Full-screen illustrated story panel for a dark-fantasy RPG: painterly digital art, cinematic composition, moody volumetric lighting, 16:9 aspect. A basalt crag fortress at dusk under arcane bombardment: broken-chain banners burning, a line of orc silhouettes holding a gate that will not hold.</t>
  </si>
  <si>
    <t>VS-008</t>
  </si>
  <si>
    <t xml:space="preserve">Legacy ending — The Buried Truth</t>
  </si>
  <si>
    <t xml:space="preserve">Full-screen illustrated story panel for a dark-fantasy RPG: painterly digital art, cinematic composition, moody volumetric lighting, 16:9 aspect. A moonlit scriptorium: an aged elf scribe lowering a thick chronicle into an iron document chest, lamplight on his face, the sea grey beyond the window.</t>
  </si>
  <si>
    <t>VS-009</t>
  </si>
  <si>
    <t xml:space="preserve">Legacy ending — The Open Wound</t>
  </si>
  <si>
    <t xml:space="preserve">Full-screen illustrated story panel for a dark-fantasy RPG: painterly digital art, cinematic composition, moody volumetric lighting, 16:9 aspect. A ruined city square: crowds gathered around posted broadsheets, faces lit by torch-light, grief and rage in equal measure.</t>
  </si>
  <si>
    <t>VS-010</t>
  </si>
  <si>
    <t xml:space="preserve">Legacy ending — The Kind Lie</t>
  </si>
  <si>
    <t xml:space="preserve">Full-screen illustrated story panel for a dark-fantasy RPG: painterly digital art, cinematic composition, moody volumetric lighting, 16:9 aspect. A quiet schoolroom years later: children reciting from a tidy history book while, out the window, a shrouded statue is unveiled to polite applause.</t>
  </si>
  <si>
    <t>FN-001</t>
  </si>
  <si>
    <t xml:space="preserve">Dialogue &amp; body font</t>
  </si>
  <si>
    <t xml:space="preserve">TTF, pixel font</t>
  </si>
  <si>
    <t xml:space="preserve">NOT GENERATED - source a free pixel font suited to 640x360 (suggested: 'm5x7' or 'Pixel Operator', both free). Verify license permits games.</t>
  </si>
  <si>
    <t xml:space="preserve">Test readability at native resolution before committing.</t>
  </si>
  <si>
    <t>FN-002</t>
  </si>
  <si>
    <t xml:space="preserve">Title &amp; header font</t>
  </si>
  <si>
    <t>TTF</t>
  </si>
  <si>
    <t xml:space="preserve">NOT GENERATED - source a fantasy display pixel font (suggested: 'Alagard', free). Verify license.</t>
  </si>
  <si>
    <t>FN-003</t>
  </si>
  <si>
    <t xml:space="preserve">Ambient audio &amp; music</t>
  </si>
  <si>
    <t>OGG</t>
  </si>
  <si>
    <t xml:space="preserve">NOT GENERATED HERE - placeholder row so audio is tracked; source from free libraries or commission later.</t>
  </si>
  <si>
    <t xml:space="preserve">Out of scope for image gen; tracked for completeness.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</si>
</sst>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\-mm\-dd"/>
  </numFmts>
  <fonts count="9">
    <font>
      <sz val="11.000000"/>
      <color theme="1"/>
      <name val="Calibri"/>
    </font>
    <font>
      <sz val="10.000000"/>
      <name val="Arial"/>
    </font>
    <font>
      <b/>
      <sz val="16.000000"/>
      <color rgb="FF1A1A2E"/>
      <name val="Arial"/>
    </font>
    <font>
      <i/>
      <sz val="10.000000"/>
      <color rgb="FF666680"/>
      <name val="Arial"/>
    </font>
    <font>
      <b/>
      <sz val="11.000000"/>
      <color rgb="FF2D2A4A"/>
      <name val="Arial"/>
    </font>
    <font>
      <b/>
      <sz val="10.000000"/>
      <color rgb="FF1A1A2E"/>
      <name val="Arial"/>
    </font>
    <font>
      <sz val="10.000000"/>
      <color rgb="FF1A1A2E"/>
      <name val="Arial"/>
    </font>
    <font>
      <b/>
      <sz val="12.000000"/>
      <color rgb="FF2D2A4A"/>
      <name val="Arial"/>
    </font>
    <font>
      <b/>
      <sz val="10.000000"/>
      <color indexed="65"/>
      <name val="Arial"/>
    </font>
  </fonts>
  <fills count="11">
    <fill>
      <patternFill patternType="none"/>
    </fill>
    <fill>
      <patternFill patternType="gray125"/>
    </fill>
    <fill>
      <patternFill patternType="solid">
        <fgColor rgb="FFEDEBF7"/>
        <bgColor rgb="FFF2F2F2"/>
      </patternFill>
    </fill>
    <fill>
      <patternFill patternType="solid">
        <fgColor rgb="FFF2F2F2"/>
        <bgColor rgb="FFEDEBF7"/>
      </patternFill>
    </fill>
    <fill>
      <patternFill patternType="solid">
        <fgColor rgb="FFFFF3CD"/>
        <bgColor rgb="FFF2F2F2"/>
      </patternFill>
    </fill>
    <fill>
      <patternFill patternType="solid">
        <fgColor rgb="FFFFE0B3"/>
        <bgColor rgb="FFFFD6D6"/>
      </patternFill>
    </fill>
    <fill>
      <patternFill patternType="solid">
        <fgColor rgb="FFD6E4FF"/>
        <bgColor rgb="FFEDEBF7"/>
      </patternFill>
    </fill>
    <fill>
      <patternFill patternType="solid">
        <fgColor rgb="FFD1F0D1"/>
        <bgColor rgb="FFD6E4FF"/>
      </patternFill>
    </fill>
    <fill>
      <patternFill patternType="solid">
        <fgColor rgb="FF9EDE9E"/>
        <bgColor rgb="FFD1F0D1"/>
      </patternFill>
    </fill>
    <fill>
      <patternFill patternType="solid">
        <fgColor rgb="FF2D2A4A"/>
        <bgColor rgb="FF1A1A2E"/>
      </patternFill>
    </fill>
    <fill>
      <patternFill patternType="solid">
        <fgColor rgb="FFFFD6D6"/>
        <bgColor rgb="FFFFE0B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9C6DD"/>
      </left>
      <right style="thin">
        <color rgb="FFC9C6DD"/>
      </right>
      <top style="thin">
        <color rgb="FFC9C6DD"/>
      </top>
      <bottom style="thin">
        <color rgb="FFC9C6DD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6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4" fillId="2" borderId="0" numFmtId="0" xfId="0" applyFont="1" applyFill="1" applyProtection="0">
      <protection hidden="0" locked="1"/>
    </xf>
    <xf fontId="0" fillId="2" borderId="0" numFmtId="0" xfId="0" applyFill="1" applyProtection="0">
      <protection hidden="0" locked="1"/>
    </xf>
    <xf fontId="5" fillId="0" borderId="0" numFmtId="0" xfId="0" applyFont="1" applyProtection="0">
      <protection hidden="0" locked="1"/>
    </xf>
    <xf fontId="6" fillId="0" borderId="0" numFmtId="0" xfId="0" applyFont="1" applyAlignment="1" applyProtection="0">
      <alignment vertical="top" wrapText="1"/>
      <protection hidden="0" locked="1"/>
    </xf>
    <xf fontId="7" fillId="0" borderId="0" numFmtId="0" xfId="0" applyFont="1" applyProtection="0">
      <protection hidden="0" locked="1"/>
    </xf>
    <xf fontId="6" fillId="0" borderId="0" numFmtId="0" xfId="0" applyFont="1" applyProtection="0">
      <protection hidden="0" locked="1"/>
    </xf>
    <xf fontId="6" fillId="0" borderId="0" numFmtId="164" xfId="0" applyNumberFormat="1" applyFont="1" applyProtection="0">
      <protection hidden="0" locked="1"/>
    </xf>
    <xf fontId="6" fillId="3" borderId="0" numFmtId="0" xfId="0" applyFont="1" applyFill="1" applyProtection="0">
      <protection hidden="0" locked="1"/>
    </xf>
    <xf fontId="6" fillId="4" borderId="0" numFmtId="0" xfId="0" applyFont="1" applyFill="1" applyProtection="0">
      <protection hidden="0" locked="1"/>
    </xf>
    <xf fontId="6" fillId="5" borderId="0" numFmtId="0" xfId="0" applyFont="1" applyFill="1" applyProtection="0">
      <protection hidden="0" locked="1"/>
    </xf>
    <xf fontId="6" fillId="6" borderId="0" numFmtId="0" xfId="0" applyFont="1" applyFill="1" applyProtection="0">
      <protection hidden="0" locked="1"/>
    </xf>
    <xf fontId="6" fillId="7" borderId="0" numFmtId="0" xfId="0" applyFont="1" applyFill="1" applyProtection="0">
      <protection hidden="0" locked="1"/>
    </xf>
    <xf fontId="6" fillId="8" borderId="0" numFmtId="0" xfId="0" applyFont="1" applyFill="1" applyProtection="0">
      <protection hidden="0" locked="1"/>
    </xf>
    <xf fontId="8" fillId="9" borderId="0" numFmtId="0" xfId="0" applyFont="1" applyFill="1" applyProtection="0">
      <protection hidden="0" locked="1"/>
    </xf>
    <xf fontId="6" fillId="0" borderId="0" numFmtId="9" xfId="0" applyNumberFormat="1" applyFont="1" applyProtection="0">
      <protection hidden="0" locked="1"/>
    </xf>
    <xf fontId="5" fillId="4" borderId="0" numFmtId="0" xfId="0" applyFont="1" applyFill="1" applyProtection="0">
      <protection hidden="0" locked="1"/>
    </xf>
    <xf fontId="5" fillId="7" borderId="0" numFmtId="0" xfId="0" applyFont="1" applyFill="1" applyProtection="0">
      <protection hidden="0" locked="1"/>
    </xf>
    <xf fontId="5" fillId="10" borderId="0" numFmtId="0" xfId="0" applyFont="1" applyFill="1" applyProtection="0">
      <protection hidden="0" locked="1"/>
    </xf>
    <xf fontId="8" fillId="9" borderId="0" numFmtId="0" xfId="0" applyFont="1" applyFill="1" applyAlignment="1" applyProtection="0">
      <alignment vertical="center" wrapText="1"/>
      <protection hidden="0" locked="1"/>
    </xf>
    <xf fontId="6" fillId="0" borderId="1" numFmtId="0" xfId="0" applyFont="1" applyBorder="1" applyAlignment="1" applyProtection="0">
      <alignment vertical="top"/>
      <protection hidden="0" locked="1"/>
    </xf>
    <xf fontId="6" fillId="0" borderId="1" numFmtId="0" xfId="0" applyFont="1" applyBorder="1" applyAlignment="1" applyProtection="0">
      <alignment vertical="top" wrapText="1"/>
      <protection hidden="0" locked="1"/>
    </xf>
    <xf fontId="6" fillId="0" borderId="1" numFmtId="165" xfId="0" applyNumberFormat="1" applyFont="1" applyBorder="1" applyAlignment="1" applyProtection="0">
      <alignment vertical="top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Relationship Id="rId8" Type="http://schemas.openxmlformats.org/officeDocument/2006/relationships/worksheet" Target="worksheets/sheet5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1" width="3"/>
    <col customWidth="1" min="2" max="2" style="1" width="30"/>
    <col customWidth="1" min="3" max="3" style="1" width="95"/>
  </cols>
  <sheetData>
    <row r="2" ht="19.5" customHeight="1">
      <c r="B2" s="2" t="s">
        <v>0</v>
      </c>
    </row>
    <row r="3" ht="15" customHeight="1">
      <c r="B3" s="3" t="s">
        <v>1</v>
      </c>
    </row>
    <row r="5" ht="15" customHeight="1">
      <c r="B5" s="4" t="s">
        <v>2</v>
      </c>
      <c r="C5" s="5"/>
    </row>
    <row r="6" ht="15" customHeight="1">
      <c r="B6" s="6" t="s">
        <v>3</v>
      </c>
      <c r="C6" s="7" t="s">
        <v>4</v>
      </c>
    </row>
    <row r="7" ht="23.25" customHeight="1">
      <c r="B7" s="6" t="s">
        <v>5</v>
      </c>
      <c r="C7" s="7" t="s">
        <v>6</v>
      </c>
    </row>
    <row r="8" ht="34.5" customHeight="1">
      <c r="B8" s="6" t="s">
        <v>7</v>
      </c>
      <c r="C8" s="7" t="s">
        <v>8</v>
      </c>
    </row>
    <row r="9" ht="23.25" customHeight="1">
      <c r="B9" s="6" t="s">
        <v>9</v>
      </c>
      <c r="C9" s="7" t="s">
        <v>10</v>
      </c>
    </row>
    <row r="10" ht="23.25" customHeight="1">
      <c r="B10" s="6" t="s">
        <v>11</v>
      </c>
      <c r="C10" s="7" t="s">
        <v>12</v>
      </c>
    </row>
    <row r="11" ht="15" customHeight="1">
      <c r="B11" s="6"/>
      <c r="C11" s="7"/>
    </row>
    <row r="12" ht="15" customHeight="1">
      <c r="B12" s="4" t="s">
        <v>13</v>
      </c>
      <c r="C12" s="5"/>
    </row>
    <row r="13" ht="15" customHeight="1">
      <c r="B13" s="6" t="s">
        <v>14</v>
      </c>
      <c r="C13" s="7" t="s">
        <v>15</v>
      </c>
    </row>
    <row r="14" ht="15" customHeight="1">
      <c r="B14" s="6" t="s">
        <v>16</v>
      </c>
      <c r="C14" s="7" t="s">
        <v>17</v>
      </c>
    </row>
    <row r="15" ht="15" customHeight="1">
      <c r="B15" s="6" t="s">
        <v>18</v>
      </c>
      <c r="C15" s="7" t="s">
        <v>19</v>
      </c>
    </row>
    <row r="16" ht="15" customHeight="1">
      <c r="B16" s="6" t="s">
        <v>20</v>
      </c>
      <c r="C16" s="7" t="s">
        <v>21</v>
      </c>
    </row>
    <row r="17" ht="15" customHeight="1">
      <c r="B17" s="6" t="s">
        <v>22</v>
      </c>
      <c r="C17" s="7" t="s">
        <v>23</v>
      </c>
    </row>
    <row r="18" ht="15" customHeight="1">
      <c r="B18" s="6" t="s">
        <v>24</v>
      </c>
      <c r="C18" s="7" t="s">
        <v>25</v>
      </c>
    </row>
    <row r="19" ht="15" customHeight="1">
      <c r="B19" s="6"/>
      <c r="C19" s="7"/>
    </row>
    <row r="20" ht="15" customHeight="1">
      <c r="B20" s="4" t="s">
        <v>26</v>
      </c>
      <c r="C20" s="5"/>
    </row>
    <row r="21" ht="15" customHeight="1">
      <c r="B21" s="6" t="s">
        <v>27</v>
      </c>
      <c r="C21" s="7" t="s">
        <v>28</v>
      </c>
    </row>
    <row r="22" ht="15" customHeight="1">
      <c r="B22" s="6" t="s">
        <v>29</v>
      </c>
      <c r="C22" s="7" t="s">
        <v>30</v>
      </c>
    </row>
    <row r="23" ht="15" customHeight="1">
      <c r="B23" s="6" t="s">
        <v>31</v>
      </c>
      <c r="C23" s="7" t="s">
        <v>32</v>
      </c>
    </row>
    <row r="24" ht="15" customHeight="1">
      <c r="B24" s="6" t="s">
        <v>33</v>
      </c>
      <c r="C24" s="7" t="s">
        <v>34</v>
      </c>
    </row>
    <row r="25" ht="15" customHeight="1">
      <c r="B25" s="6"/>
      <c r="C25" s="7"/>
    </row>
    <row r="26" ht="15" customHeight="1">
      <c r="B26" s="4" t="s">
        <v>35</v>
      </c>
      <c r="C26" s="5"/>
    </row>
    <row r="27" ht="23.25" customHeight="1">
      <c r="B27" s="6" t="s">
        <v>36</v>
      </c>
      <c r="C27" s="7" t="s">
        <v>37</v>
      </c>
    </row>
    <row r="28" ht="23.25" customHeight="1">
      <c r="B28" s="6" t="s">
        <v>38</v>
      </c>
      <c r="C28" s="7" t="s">
        <v>39</v>
      </c>
    </row>
    <row r="29" ht="23.25" customHeight="1">
      <c r="B29" s="6" t="s">
        <v>40</v>
      </c>
      <c r="C29" s="7" t="s">
        <v>41</v>
      </c>
    </row>
    <row r="30" ht="15" customHeight="1">
      <c r="B30" s="6" t="s">
        <v>42</v>
      </c>
      <c r="C30" s="7" t="s">
        <v>43</v>
      </c>
    </row>
    <row r="31" ht="15" customHeight="1">
      <c r="B31" s="6" t="s">
        <v>44</v>
      </c>
      <c r="C31" s="7" t="s">
        <v>45</v>
      </c>
    </row>
    <row r="32" ht="15" customHeight="1">
      <c r="B32" s="6"/>
      <c r="C32" s="7"/>
    </row>
    <row r="33" ht="15" customHeight="1">
      <c r="B33" s="4" t="s">
        <v>46</v>
      </c>
      <c r="C33" s="5"/>
    </row>
    <row r="34" ht="15" customHeight="1">
      <c r="B34" s="6" t="s">
        <v>47</v>
      </c>
      <c r="C34" s="7" t="s">
        <v>48</v>
      </c>
    </row>
    <row r="35" ht="15" customHeight="1">
      <c r="B35" s="6" t="s">
        <v>49</v>
      </c>
      <c r="C35" s="7" t="s">
        <v>50</v>
      </c>
    </row>
    <row r="36" ht="15" customHeight="1">
      <c r="B36" s="6" t="s">
        <v>51</v>
      </c>
      <c r="C36" s="7" t="s">
        <v>52</v>
      </c>
    </row>
    <row r="37" ht="15" customHeight="1">
      <c r="B37" s="6"/>
      <c r="C37" s="7"/>
    </row>
    <row r="38" ht="23.25" customHeight="1">
      <c r="B38" s="6" t="s">
        <v>53</v>
      </c>
      <c r="C38" s="7" t="s">
        <v>54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1" width="3"/>
    <col customWidth="1" min="2" max="2" style="1" width="26"/>
    <col customWidth="1" min="3" max="6" style="1" width="14"/>
    <col customWidth="1" min="7" max="7" style="1" width="3"/>
  </cols>
  <sheetData>
    <row r="2" ht="19.5" customHeight="1">
      <c r="B2" s="2" t="s">
        <v>55</v>
      </c>
    </row>
    <row r="4" ht="15" customHeight="1">
      <c r="B4" s="8" t="s">
        <v>56</v>
      </c>
    </row>
    <row r="5" ht="15" customHeight="1">
      <c r="B5" s="6" t="s">
        <v>57</v>
      </c>
      <c r="C5" s="9">
        <f>COUNTA(ASSETS!$A$2:$A$500)</f>
        <v>129</v>
      </c>
    </row>
    <row r="6" ht="15" customHeight="1">
      <c r="B6" s="6" t="s">
        <v>58</v>
      </c>
      <c r="C6" s="9">
        <f>COUNTIF(ASSETS!$I$2:$I$500,"In Engine")</f>
        <v>0</v>
      </c>
    </row>
    <row r="7" ht="15" customHeight="1">
      <c r="B7" s="6" t="s">
        <v>59</v>
      </c>
      <c r="C7" s="10">
        <f>IF(C5=0,0,C6/C5)</f>
        <v>0</v>
      </c>
    </row>
    <row r="9" ht="15" customHeight="1">
      <c r="B9" s="8" t="s">
        <v>60</v>
      </c>
    </row>
    <row r="10" ht="15" customHeight="1">
      <c r="B10" s="11" t="s">
        <v>14</v>
      </c>
      <c r="C10" s="9">
        <f>COUNTIF(ASSETS!$I$2:$I$500,"Not Started")</f>
        <v>96</v>
      </c>
    </row>
    <row r="11" ht="15" customHeight="1">
      <c r="B11" s="12" t="s">
        <v>16</v>
      </c>
      <c r="C11" s="9">
        <f>COUNTIF(ASSETS!$I$2:$I$500,"Prompted")</f>
        <v>0</v>
      </c>
    </row>
    <row r="12" ht="15" customHeight="1">
      <c r="B12" s="13" t="s">
        <v>18</v>
      </c>
      <c r="C12" s="9">
        <f>COUNTIF(ASSETS!$I$2:$I$500,"Generated")</f>
        <v>33</v>
      </c>
    </row>
    <row r="13" ht="15" customHeight="1">
      <c r="B13" s="14" t="s">
        <v>20</v>
      </c>
      <c r="C13" s="9">
        <f>COUNTIF(ASSETS!$I$2:$I$500,"Cleaned")</f>
        <v>0</v>
      </c>
    </row>
    <row r="14" ht="15" customHeight="1">
      <c r="B14" s="15" t="s">
        <v>22</v>
      </c>
      <c r="C14" s="9">
        <f>COUNTIF(ASSETS!$I$2:$I$500,"Approved")</f>
        <v>0</v>
      </c>
    </row>
    <row r="15" ht="15" customHeight="1">
      <c r="B15" s="16" t="s">
        <v>24</v>
      </c>
      <c r="C15" s="9">
        <f>COUNTIF(ASSETS!$I$2:$I$500,"In Engine")</f>
        <v>0</v>
      </c>
    </row>
    <row r="17" ht="15" customHeight="1">
      <c r="B17" s="8" t="s">
        <v>61</v>
      </c>
    </row>
    <row r="18" ht="15" customHeight="1">
      <c r="B18" s="17" t="s">
        <v>62</v>
      </c>
      <c r="C18" s="17" t="s">
        <v>63</v>
      </c>
      <c r="D18" s="17" t="s">
        <v>24</v>
      </c>
      <c r="E18" s="17" t="s">
        <v>64</v>
      </c>
    </row>
    <row r="19" ht="15" customHeight="1">
      <c r="B19" s="9" t="s">
        <v>65</v>
      </c>
      <c r="C19" s="9">
        <f>COUNTIF(ASSETS!$B$2:$B$500,"Character Sprite")</f>
        <v>28</v>
      </c>
      <c r="D19" s="9">
        <f>COUNTIFS(ASSETS!$B$2:$B$500,"Character Sprite",ASSETS!$I$2:$I$500,"In Engine")</f>
        <v>0</v>
      </c>
      <c r="E19" s="18">
        <f t="shared" ref="E19:E33" si="0">IF(C19=0,0,D19/C19)</f>
        <v>0</v>
      </c>
    </row>
    <row r="20" ht="15" customHeight="1">
      <c r="B20" s="9" t="s">
        <v>66</v>
      </c>
      <c r="C20" s="9">
        <f>COUNTIF(ASSETS!$B$2:$B$500,"Portrait")</f>
        <v>14</v>
      </c>
      <c r="D20" s="9">
        <f>COUNTIFS(ASSETS!$B$2:$B$500,"Portrait",ASSETS!$I$2:$I$500,"In Engine")</f>
        <v>0</v>
      </c>
      <c r="E20" s="18">
        <f t="shared" si="0"/>
        <v>0</v>
      </c>
    </row>
    <row r="21" ht="15" customHeight="1">
      <c r="B21" s="9" t="s">
        <v>67</v>
      </c>
      <c r="C21" s="9">
        <f>COUNTIF(ASSETS!$B$2:$B$500,"Environment")</f>
        <v>16</v>
      </c>
      <c r="D21" s="9">
        <f>COUNTIFS(ASSETS!$B$2:$B$500,"Environment",ASSETS!$I$2:$I$500,"In Engine")</f>
        <v>0</v>
      </c>
      <c r="E21" s="18">
        <f t="shared" si="0"/>
        <v>0</v>
      </c>
    </row>
    <row r="22" ht="15" customHeight="1">
      <c r="B22" s="9" t="s">
        <v>68</v>
      </c>
      <c r="C22" s="9">
        <f>COUNTIF(ASSETS!$B$2:$B$500,"Prop / Object")</f>
        <v>24</v>
      </c>
      <c r="D22" s="9">
        <f>COUNTIFS(ASSETS!$B$2:$B$500,"Prop / Object",ASSETS!$I$2:$I$500,"In Engine")</f>
        <v>0</v>
      </c>
      <c r="E22" s="18">
        <f t="shared" si="0"/>
        <v>0</v>
      </c>
    </row>
    <row r="23" ht="15" customHeight="1">
      <c r="B23" s="9" t="s">
        <v>69</v>
      </c>
      <c r="C23" s="9">
        <f>COUNTIF(ASSETS!$B$2:$B$500,"Item Icon")</f>
        <v>16</v>
      </c>
      <c r="D23" s="9">
        <f>COUNTIFS(ASSETS!$B$2:$B$500,"Item Icon",ASSETS!$I$2:$I$500,"In Engine")</f>
        <v>0</v>
      </c>
      <c r="E23" s="18">
        <f t="shared" si="0"/>
        <v>0</v>
      </c>
    </row>
    <row r="24" ht="15" customHeight="1">
      <c r="B24" s="9" t="s">
        <v>70</v>
      </c>
      <c r="C24" s="9">
        <f>COUNTIF(ASSETS!$B$2:$B$500,"UI")</f>
        <v>18</v>
      </c>
      <c r="D24" s="9">
        <f>COUNTIFS(ASSETS!$B$2:$B$500,"UI",ASSETS!$I$2:$I$500,"In Engine")</f>
        <v>0</v>
      </c>
      <c r="E24" s="18">
        <f t="shared" si="0"/>
        <v>0</v>
      </c>
    </row>
    <row r="25" ht="15" customHeight="1">
      <c r="B25" s="9" t="s">
        <v>71</v>
      </c>
      <c r="C25" s="9">
        <f>COUNTIF(ASSETS!$B$2:$B$500,"Story Panel")</f>
        <v>10</v>
      </c>
      <c r="D25" s="9">
        <f>COUNTIFS(ASSETS!$B$2:$B$500,"Story Panel",ASSETS!$I$2:$I$500,"In Engine")</f>
        <v>0</v>
      </c>
      <c r="E25" s="18">
        <f t="shared" si="0"/>
        <v>0</v>
      </c>
    </row>
    <row r="26" ht="15" customHeight="1">
      <c r="B26" s="9" t="s">
        <v>72</v>
      </c>
      <c r="C26" s="9">
        <f>COUNTIF(ASSETS!$B$2:$B$500,"Font / External")</f>
        <v>3</v>
      </c>
      <c r="D26" s="9">
        <f>COUNTIFS(ASSETS!$B$2:$B$500,"Font / External",ASSETS!$I$2:$I$500,"In Engine")</f>
        <v>0</v>
      </c>
      <c r="E26" s="18">
        <f t="shared" si="0"/>
        <v>0</v>
      </c>
    </row>
    <row r="28" ht="15" customHeight="1">
      <c r="B28" s="8" t="s">
        <v>73</v>
      </c>
    </row>
    <row r="29" ht="15" customHeight="1">
      <c r="B29" s="17" t="s">
        <v>74</v>
      </c>
      <c r="C29" s="17" t="s">
        <v>63</v>
      </c>
      <c r="D29" s="17" t="s">
        <v>24</v>
      </c>
      <c r="E29" s="17" t="s">
        <v>64</v>
      </c>
    </row>
    <row r="30" ht="15" customHeight="1">
      <c r="B30" s="9" t="s">
        <v>27</v>
      </c>
      <c r="C30" s="9">
        <f>COUNTIF(ASSETS!$E$2:$E$500,"P1 - Vertical Slice")</f>
        <v>33</v>
      </c>
      <c r="D30" s="9">
        <f>COUNTIFS(ASSETS!$E$2:$E$500,"P1 - Vertical Slice",ASSETS!$I$2:$I$500,"In Engine")</f>
        <v>0</v>
      </c>
      <c r="E30" s="18">
        <f t="shared" si="0"/>
        <v>0</v>
      </c>
    </row>
    <row r="31" ht="15" customHeight="1">
      <c r="B31" s="9" t="s">
        <v>29</v>
      </c>
      <c r="C31" s="9">
        <f>COUNTIF(ASSETS!$E$2:$E$500,"P2 - Part One")</f>
        <v>50</v>
      </c>
      <c r="D31" s="9">
        <f>COUNTIFS(ASSETS!$E$2:$E$500,"P2 - Part One",ASSETS!$I$2:$I$500,"In Engine")</f>
        <v>0</v>
      </c>
      <c r="E31" s="18">
        <f t="shared" si="0"/>
        <v>0</v>
      </c>
    </row>
    <row r="32" ht="15" customHeight="1">
      <c r="B32" s="9" t="s">
        <v>31</v>
      </c>
      <c r="C32" s="9">
        <f>COUNTIF(ASSETS!$E$2:$E$500,"P3 - Part Two")</f>
        <v>37</v>
      </c>
      <c r="D32" s="9">
        <f>COUNTIFS(ASSETS!$E$2:$E$500,"P3 - Part Two",ASSETS!$I$2:$I$500,"In Engine")</f>
        <v>0</v>
      </c>
      <c r="E32" s="18">
        <f t="shared" si="0"/>
        <v>0</v>
      </c>
    </row>
    <row r="33" ht="15" customHeight="1">
      <c r="B33" s="9" t="s">
        <v>33</v>
      </c>
      <c r="C33" s="9">
        <f>COUNTIF(ASSETS!$E$2:$E$500,"P4 - Polish")</f>
        <v>9</v>
      </c>
      <c r="D33" s="9">
        <f>COUNTIFS(ASSETS!$E$2:$E$500,"P4 - Polish",ASSETS!$I$2:$I$500,"In Engine")</f>
        <v>0</v>
      </c>
      <c r="E33" s="18">
        <f t="shared" si="0"/>
        <v>0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"/>
    <col customWidth="1" min="2" max="2" style="0" width="34"/>
    <col customWidth="1" min="3" max="3" style="0" width="100"/>
  </cols>
  <sheetData>
    <row r="2" ht="19.699999999999999">
      <c r="B2" s="2" t="s">
        <v>75</v>
      </c>
    </row>
    <row r="3" ht="15">
      <c r="B3" s="3" t="s">
        <v>76</v>
      </c>
    </row>
    <row r="5" ht="15">
      <c r="B5" s="4" t="s">
        <v>77</v>
      </c>
      <c r="C5" s="5"/>
    </row>
    <row r="6" ht="23.850000000000001">
      <c r="B6" s="6" t="s">
        <v>78</v>
      </c>
      <c r="C6" s="7" t="s">
        <v>79</v>
      </c>
    </row>
    <row r="7" ht="35.049999999999997">
      <c r="B7" s="19" t="s">
        <v>80</v>
      </c>
      <c r="C7" s="7" t="s">
        <v>81</v>
      </c>
    </row>
    <row r="8" ht="35.049999999999997">
      <c r="B8" s="6" t="s">
        <v>82</v>
      </c>
      <c r="C8" s="7" t="s">
        <v>83</v>
      </c>
    </row>
    <row r="9" ht="35.049999999999997">
      <c r="B9" s="6" t="s">
        <v>84</v>
      </c>
      <c r="C9" s="7" t="s">
        <v>85</v>
      </c>
    </row>
    <row r="10" ht="15">
      <c r="B10" s="6"/>
      <c r="C10" s="7"/>
    </row>
    <row r="11" ht="15">
      <c r="B11" s="4" t="s">
        <v>86</v>
      </c>
      <c r="C11" s="5"/>
    </row>
    <row r="12" ht="23.850000000000001">
      <c r="B12" s="6" t="s">
        <v>87</v>
      </c>
      <c r="C12" s="7" t="s">
        <v>88</v>
      </c>
    </row>
    <row r="13" ht="23.850000000000001">
      <c r="B13" s="6" t="s">
        <v>89</v>
      </c>
      <c r="C13" s="7" t="s">
        <v>90</v>
      </c>
    </row>
    <row r="14" ht="23.850000000000001">
      <c r="B14" s="6" t="s">
        <v>91</v>
      </c>
      <c r="C14" s="7" t="s">
        <v>92</v>
      </c>
    </row>
    <row r="15" ht="23.850000000000001">
      <c r="B15" s="6" t="s">
        <v>93</v>
      </c>
      <c r="C15" s="7" t="s">
        <v>94</v>
      </c>
    </row>
    <row r="16" ht="35.049999999999997">
      <c r="B16" s="6" t="s">
        <v>95</v>
      </c>
      <c r="C16" s="7" t="s">
        <v>96</v>
      </c>
    </row>
    <row r="17" ht="15">
      <c r="B17" s="6"/>
      <c r="C17" s="7"/>
    </row>
    <row r="18" ht="15">
      <c r="B18" s="4" t="s">
        <v>97</v>
      </c>
      <c r="C18" s="5"/>
    </row>
    <row r="19" ht="15">
      <c r="B19" s="6" t="s">
        <v>98</v>
      </c>
      <c r="C19" s="7" t="s">
        <v>99</v>
      </c>
    </row>
    <row r="20" ht="15">
      <c r="B20" s="6" t="s">
        <v>100</v>
      </c>
      <c r="C20" s="7" t="s">
        <v>101</v>
      </c>
    </row>
    <row r="21" ht="15">
      <c r="B21" s="6" t="s">
        <v>102</v>
      </c>
      <c r="C21" s="7" t="s">
        <v>103</v>
      </c>
    </row>
    <row r="22" ht="15">
      <c r="B22" s="6" t="s">
        <v>104</v>
      </c>
      <c r="C22" s="7" t="s">
        <v>105</v>
      </c>
    </row>
    <row r="23" ht="23.850000000000001">
      <c r="B23" s="6" t="s">
        <v>106</v>
      </c>
      <c r="C23" s="7" t="s">
        <v>107</v>
      </c>
    </row>
    <row r="24" ht="15">
      <c r="B24" s="6" t="s">
        <v>66</v>
      </c>
      <c r="C24" s="7" t="s">
        <v>108</v>
      </c>
    </row>
    <row r="25" ht="15">
      <c r="B25" s="6" t="s">
        <v>109</v>
      </c>
      <c r="C25" s="7" t="s">
        <v>110</v>
      </c>
    </row>
    <row r="26" ht="15">
      <c r="B26" s="6" t="s">
        <v>111</v>
      </c>
      <c r="C26" s="7" t="s">
        <v>112</v>
      </c>
    </row>
    <row r="27" ht="15">
      <c r="B27" s="6"/>
      <c r="C27" s="7"/>
    </row>
    <row r="28" ht="15">
      <c r="B28" s="4" t="s">
        <v>113</v>
      </c>
      <c r="C28" s="5"/>
    </row>
    <row r="29" ht="15">
      <c r="B29" s="20" t="s">
        <v>114</v>
      </c>
      <c r="C29" s="7" t="s">
        <v>115</v>
      </c>
    </row>
    <row r="30" ht="15">
      <c r="B30" s="20" t="s">
        <v>116</v>
      </c>
      <c r="C30" s="7" t="s">
        <v>117</v>
      </c>
    </row>
    <row r="31" ht="15">
      <c r="B31" s="20" t="s">
        <v>118</v>
      </c>
      <c r="C31" s="7" t="s">
        <v>119</v>
      </c>
    </row>
    <row r="32" ht="15">
      <c r="B32" s="20" t="s">
        <v>120</v>
      </c>
      <c r="C32" s="7" t="s">
        <v>121</v>
      </c>
    </row>
    <row r="33" ht="15">
      <c r="B33" s="21" t="s">
        <v>122</v>
      </c>
      <c r="C33" s="7" t="s">
        <v>123</v>
      </c>
    </row>
    <row r="34" ht="15">
      <c r="B34" s="21" t="s">
        <v>124</v>
      </c>
      <c r="C34" s="7" t="s">
        <v>125</v>
      </c>
    </row>
    <row r="35" ht="15">
      <c r="B35" s="21" t="s">
        <v>126</v>
      </c>
      <c r="C35" s="7" t="s">
        <v>127</v>
      </c>
    </row>
    <row r="36" ht="15">
      <c r="B36" s="21" t="s">
        <v>128</v>
      </c>
      <c r="C36" s="7" t="s">
        <v>129</v>
      </c>
    </row>
    <row r="37" ht="15">
      <c r="B37" s="6"/>
      <c r="C37" s="7"/>
    </row>
    <row r="38" ht="15">
      <c r="B38" s="4" t="s">
        <v>130</v>
      </c>
      <c r="C38" s="5"/>
    </row>
    <row r="39" ht="23.850000000000001">
      <c r="B39" s="6" t="s">
        <v>131</v>
      </c>
      <c r="C39" s="7" t="s">
        <v>132</v>
      </c>
    </row>
    <row r="40" ht="23.850000000000001">
      <c r="B40" s="6" t="s">
        <v>133</v>
      </c>
      <c r="C40" s="7" t="s">
        <v>134</v>
      </c>
    </row>
    <row r="41" ht="35.049999999999997">
      <c r="B41" s="6" t="s">
        <v>135</v>
      </c>
      <c r="C41" s="7" t="s">
        <v>136</v>
      </c>
    </row>
    <row r="42" ht="23.850000000000001">
      <c r="B42" s="6" t="s">
        <v>137</v>
      </c>
      <c r="C42" s="7" t="s">
        <v>138</v>
      </c>
    </row>
    <row r="43" ht="35.049999999999997">
      <c r="B43" s="6" t="s">
        <v>139</v>
      </c>
      <c r="C43" s="7" t="s">
        <v>140</v>
      </c>
    </row>
    <row r="44" ht="23.850000000000001">
      <c r="B44" s="6" t="s">
        <v>141</v>
      </c>
      <c r="C44" s="7" t="s">
        <v>142</v>
      </c>
    </row>
    <row r="45" ht="23.850000000000001">
      <c r="B45" s="6" t="s">
        <v>143</v>
      </c>
      <c r="C45" s="7" t="s">
        <v>144</v>
      </c>
    </row>
    <row r="46" ht="23.850000000000001">
      <c r="B46" s="6" t="s">
        <v>145</v>
      </c>
      <c r="C46" s="7" t="s">
        <v>146</v>
      </c>
    </row>
    <row r="47" ht="15">
      <c r="B47" s="6"/>
      <c r="C47" s="7"/>
    </row>
    <row r="48" ht="15">
      <c r="B48" s="4" t="s">
        <v>147</v>
      </c>
      <c r="C48" s="5"/>
    </row>
    <row r="49" ht="15">
      <c r="B49" s="6" t="s">
        <v>148</v>
      </c>
      <c r="C49" s="7" t="s">
        <v>149</v>
      </c>
    </row>
    <row r="50" ht="23.850000000000001">
      <c r="B50" s="6" t="s">
        <v>150</v>
      </c>
      <c r="C50" s="7" t="s">
        <v>151</v>
      </c>
    </row>
    <row r="51" ht="23.850000000000001">
      <c r="B51" s="19" t="s">
        <v>152</v>
      </c>
      <c r="C51" s="7" t="s">
        <v>153</v>
      </c>
    </row>
    <row r="52" ht="15">
      <c r="B52" s="6"/>
      <c r="C52" s="7"/>
    </row>
    <row r="53" ht="15">
      <c r="B53" s="4" t="s">
        <v>154</v>
      </c>
      <c r="C53" s="5"/>
    </row>
    <row r="54" ht="15">
      <c r="B54" s="6" t="s">
        <v>155</v>
      </c>
      <c r="C54" s="7" t="s">
        <v>156</v>
      </c>
    </row>
    <row r="55" ht="23.850000000000001">
      <c r="B55" s="6" t="s">
        <v>157</v>
      </c>
      <c r="C55" s="7" t="s">
        <v>158</v>
      </c>
    </row>
    <row r="56" ht="23.850000000000001">
      <c r="B56" s="19" t="s">
        <v>159</v>
      </c>
      <c r="C56" s="7" t="s">
        <v>160</v>
      </c>
    </row>
    <row r="57" ht="23.850000000000001">
      <c r="B57" s="19" t="s">
        <v>161</v>
      </c>
      <c r="C57" s="7" t="s">
        <v>162</v>
      </c>
    </row>
    <row r="58" ht="15">
      <c r="B58" s="6" t="s">
        <v>163</v>
      </c>
      <c r="C58" s="7" t="s">
        <v>164</v>
      </c>
    </row>
    <row r="59" ht="15">
      <c r="B59" s="6"/>
      <c r="C59" s="7"/>
    </row>
    <row r="60" ht="15">
      <c r="B60" s="4" t="s">
        <v>165</v>
      </c>
      <c r="C60" s="5"/>
    </row>
    <row r="61" ht="15">
      <c r="B61" s="6" t="s">
        <v>166</v>
      </c>
      <c r="C61" s="7" t="s">
        <v>167</v>
      </c>
    </row>
    <row r="62" ht="23.850000000000001">
      <c r="B62" s="6" t="s">
        <v>168</v>
      </c>
      <c r="C62" s="7" t="s">
        <v>169</v>
      </c>
    </row>
    <row r="63" ht="23.850000000000001">
      <c r="B63" s="6" t="s">
        <v>170</v>
      </c>
      <c r="C63" s="7" t="s">
        <v>171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xSplit="3" ySplit="1" topLeftCell="D2" activePane="bottomRight" state="frozen"/>
      <selection activeCell="A1" activeCellId="0" sqref="A1"/>
    </sheetView>
  </sheetViews>
  <sheetFormatPr defaultColWidth="8.6796875" defaultRowHeight="14.25"/>
  <cols>
    <col customWidth="1" min="1" max="1" style="1" width="9"/>
    <col customWidth="1" min="2" max="2" style="1" width="17"/>
    <col customWidth="1" min="3" max="3" style="1" width="30"/>
    <col customWidth="1" min="4" max="4" style="1" width="16"/>
    <col customWidth="1" min="5" max="5" style="1" width="17"/>
    <col customWidth="1" min="6" max="6" style="1" width="20"/>
    <col customWidth="1" min="7" max="7" style="1" width="26"/>
    <col customWidth="1" min="8" max="8" style="1" width="80"/>
    <col customWidth="1" min="9" max="9" style="1" width="13"/>
    <col customWidth="1" min="10" max="10" style="1" width="12"/>
    <col customWidth="1" min="11" max="11" style="1" width="32"/>
  </cols>
  <sheetData>
    <row r="1" ht="30" customHeight="1">
      <c r="A1" s="22" t="s">
        <v>172</v>
      </c>
      <c r="B1" s="22" t="s">
        <v>62</v>
      </c>
      <c r="C1" s="22" t="s">
        <v>173</v>
      </c>
      <c r="D1" s="22" t="s">
        <v>174</v>
      </c>
      <c r="E1" s="22" t="s">
        <v>74</v>
      </c>
      <c r="F1" s="22" t="s">
        <v>175</v>
      </c>
      <c r="G1" s="22" t="s">
        <v>176</v>
      </c>
      <c r="H1" s="22" t="s">
        <v>177</v>
      </c>
      <c r="I1" s="22" t="s">
        <v>178</v>
      </c>
      <c r="J1" s="22" t="s">
        <v>179</v>
      </c>
      <c r="K1" s="22" t="s">
        <v>180</v>
      </c>
    </row>
    <row r="2" ht="63.75" customHeight="1">
      <c r="A2" s="23" t="s">
        <v>181</v>
      </c>
      <c r="B2" s="23" t="s">
        <v>65</v>
      </c>
      <c r="C2" s="24" t="s">
        <v>182</v>
      </c>
      <c r="D2" s="23" t="s">
        <v>183</v>
      </c>
      <c r="E2" s="23" t="s">
        <v>27</v>
      </c>
      <c r="F2" s="23" t="s">
        <v>184</v>
      </c>
      <c r="G2" s="24" t="s">
        <v>185</v>
      </c>
      <c r="H2" s="24" t="s">
        <v>186</v>
      </c>
      <c r="I2" s="23" t="s">
        <v>18</v>
      </c>
      <c r="J2" s="25" t="s">
        <v>187</v>
      </c>
      <c r="K2" s="24" t="s">
        <v>188</v>
      </c>
    </row>
    <row r="3" ht="63.75" hidden="1" customHeight="1">
      <c r="A3" s="23" t="s">
        <v>189</v>
      </c>
      <c r="B3" s="23" t="s">
        <v>65</v>
      </c>
      <c r="C3" s="24" t="s">
        <v>190</v>
      </c>
      <c r="D3" s="23" t="s">
        <v>191</v>
      </c>
      <c r="E3" s="23" t="s">
        <v>29</v>
      </c>
      <c r="F3" s="23" t="s">
        <v>184</v>
      </c>
      <c r="G3" s="24" t="s">
        <v>192</v>
      </c>
      <c r="H3" s="24" t="s">
        <v>193</v>
      </c>
      <c r="I3" s="23" t="s">
        <v>14</v>
      </c>
      <c r="J3" s="25"/>
      <c r="K3" s="24" t="s">
        <v>194</v>
      </c>
    </row>
    <row r="4" ht="63.75" hidden="1" customHeight="1">
      <c r="A4" s="23" t="s">
        <v>195</v>
      </c>
      <c r="B4" s="23" t="s">
        <v>65</v>
      </c>
      <c r="C4" s="24" t="s">
        <v>196</v>
      </c>
      <c r="D4" s="23" t="s">
        <v>197</v>
      </c>
      <c r="E4" s="23" t="s">
        <v>31</v>
      </c>
      <c r="F4" s="23" t="s">
        <v>184</v>
      </c>
      <c r="G4" s="24" t="s">
        <v>192</v>
      </c>
      <c r="H4" s="24" t="s">
        <v>198</v>
      </c>
      <c r="I4" s="23" t="s">
        <v>14</v>
      </c>
      <c r="J4" s="25"/>
      <c r="K4" s="24"/>
    </row>
    <row r="5" ht="63.75" hidden="1" customHeight="1">
      <c r="A5" s="23" t="s">
        <v>199</v>
      </c>
      <c r="B5" s="23" t="s">
        <v>65</v>
      </c>
      <c r="C5" s="24" t="s">
        <v>200</v>
      </c>
      <c r="D5" s="23" t="s">
        <v>201</v>
      </c>
      <c r="E5" s="23" t="s">
        <v>31</v>
      </c>
      <c r="F5" s="23" t="s">
        <v>184</v>
      </c>
      <c r="G5" s="24" t="s">
        <v>202</v>
      </c>
      <c r="H5" s="24" t="s">
        <v>203</v>
      </c>
      <c r="I5" s="23" t="s">
        <v>14</v>
      </c>
      <c r="J5" s="25"/>
      <c r="K5" s="24" t="s">
        <v>204</v>
      </c>
    </row>
    <row r="6" ht="63.75" hidden="1" customHeight="1">
      <c r="A6" s="23" t="s">
        <v>205</v>
      </c>
      <c r="B6" s="23" t="s">
        <v>65</v>
      </c>
      <c r="C6" s="24" t="s">
        <v>206</v>
      </c>
      <c r="D6" s="23" t="s">
        <v>207</v>
      </c>
      <c r="E6" s="23" t="s">
        <v>31</v>
      </c>
      <c r="F6" s="23" t="s">
        <v>184</v>
      </c>
      <c r="G6" s="24" t="s">
        <v>192</v>
      </c>
      <c r="H6" s="24" t="s">
        <v>208</v>
      </c>
      <c r="I6" s="23" t="s">
        <v>14</v>
      </c>
      <c r="J6" s="25"/>
      <c r="K6" s="24"/>
    </row>
    <row r="7" ht="63.75" customHeight="1">
      <c r="A7" s="23" t="s">
        <v>209</v>
      </c>
      <c r="B7" s="23" t="s">
        <v>65</v>
      </c>
      <c r="C7" s="24" t="s">
        <v>210</v>
      </c>
      <c r="D7" s="23" t="s">
        <v>211</v>
      </c>
      <c r="E7" s="23" t="s">
        <v>27</v>
      </c>
      <c r="F7" s="23" t="s">
        <v>184</v>
      </c>
      <c r="G7" s="24" t="s">
        <v>192</v>
      </c>
      <c r="H7" s="24" t="s">
        <v>212</v>
      </c>
      <c r="I7" s="23" t="s">
        <v>18</v>
      </c>
      <c r="J7" s="25"/>
      <c r="K7" s="24"/>
    </row>
    <row r="8" ht="63.75" customHeight="1">
      <c r="A8" s="23" t="s">
        <v>213</v>
      </c>
      <c r="B8" s="23" t="s">
        <v>65</v>
      </c>
      <c r="C8" s="24" t="s">
        <v>214</v>
      </c>
      <c r="D8" s="23" t="s">
        <v>215</v>
      </c>
      <c r="E8" s="23" t="s">
        <v>27</v>
      </c>
      <c r="F8" s="23" t="s">
        <v>184</v>
      </c>
      <c r="G8" s="24" t="s">
        <v>192</v>
      </c>
      <c r="H8" s="24" t="s">
        <v>216</v>
      </c>
      <c r="I8" s="23" t="s">
        <v>18</v>
      </c>
      <c r="J8" s="25"/>
      <c r="K8" s="24"/>
    </row>
    <row r="9" ht="63.75" customHeight="1">
      <c r="A9" s="23" t="s">
        <v>217</v>
      </c>
      <c r="B9" s="23" t="s">
        <v>65</v>
      </c>
      <c r="C9" s="24" t="s">
        <v>218</v>
      </c>
      <c r="D9" s="23" t="s">
        <v>219</v>
      </c>
      <c r="E9" s="23" t="s">
        <v>27</v>
      </c>
      <c r="F9" s="23" t="s">
        <v>184</v>
      </c>
      <c r="G9" s="24" t="s">
        <v>192</v>
      </c>
      <c r="H9" s="24" t="s">
        <v>220</v>
      </c>
      <c r="I9" s="23" t="s">
        <v>18</v>
      </c>
      <c r="J9" s="25"/>
      <c r="K9" s="24"/>
    </row>
    <row r="10" ht="63.75" customHeight="1">
      <c r="A10" s="23" t="s">
        <v>221</v>
      </c>
      <c r="B10" s="23" t="s">
        <v>65</v>
      </c>
      <c r="C10" s="24" t="s">
        <v>222</v>
      </c>
      <c r="D10" s="23" t="s">
        <v>219</v>
      </c>
      <c r="E10" s="23" t="s">
        <v>27</v>
      </c>
      <c r="F10" s="23" t="s">
        <v>184</v>
      </c>
      <c r="G10" s="24" t="s">
        <v>192</v>
      </c>
      <c r="H10" s="24" t="s">
        <v>223</v>
      </c>
      <c r="I10" s="23" t="s">
        <v>18</v>
      </c>
      <c r="J10" s="25"/>
      <c r="K10" s="24"/>
    </row>
    <row r="11" ht="63.75" customHeight="1">
      <c r="A11" s="23" t="s">
        <v>224</v>
      </c>
      <c r="B11" s="23" t="s">
        <v>65</v>
      </c>
      <c r="C11" s="24" t="s">
        <v>225</v>
      </c>
      <c r="D11" s="23" t="s">
        <v>219</v>
      </c>
      <c r="E11" s="23" t="s">
        <v>27</v>
      </c>
      <c r="F11" s="23" t="s">
        <v>184</v>
      </c>
      <c r="G11" s="24" t="s">
        <v>192</v>
      </c>
      <c r="H11" s="24" t="s">
        <v>226</v>
      </c>
      <c r="I11" s="23" t="s">
        <v>18</v>
      </c>
      <c r="J11" s="25"/>
      <c r="K11" s="24"/>
    </row>
    <row r="12" ht="63.75" hidden="1" customHeight="1">
      <c r="A12" s="23" t="s">
        <v>227</v>
      </c>
      <c r="B12" s="23" t="s">
        <v>65</v>
      </c>
      <c r="C12" s="24" t="s">
        <v>228</v>
      </c>
      <c r="D12" s="23" t="s">
        <v>219</v>
      </c>
      <c r="E12" s="23" t="s">
        <v>29</v>
      </c>
      <c r="F12" s="23" t="s">
        <v>184</v>
      </c>
      <c r="G12" s="24" t="s">
        <v>192</v>
      </c>
      <c r="H12" s="24" t="s">
        <v>229</v>
      </c>
      <c r="I12" s="23" t="s">
        <v>14</v>
      </c>
      <c r="J12" s="25"/>
      <c r="K12" s="24"/>
    </row>
    <row r="13" ht="63.75" hidden="1" customHeight="1">
      <c r="A13" s="23" t="s">
        <v>230</v>
      </c>
      <c r="B13" s="23" t="s">
        <v>65</v>
      </c>
      <c r="C13" s="24" t="s">
        <v>231</v>
      </c>
      <c r="D13" s="23" t="s">
        <v>232</v>
      </c>
      <c r="E13" s="23" t="s">
        <v>29</v>
      </c>
      <c r="F13" s="23" t="s">
        <v>184</v>
      </c>
      <c r="G13" s="24" t="s">
        <v>192</v>
      </c>
      <c r="H13" s="24" t="s">
        <v>233</v>
      </c>
      <c r="I13" s="23" t="s">
        <v>14</v>
      </c>
      <c r="J13" s="25"/>
      <c r="K13" s="24"/>
    </row>
    <row r="14" ht="63.75" hidden="1" customHeight="1">
      <c r="A14" s="23" t="s">
        <v>234</v>
      </c>
      <c r="B14" s="23" t="s">
        <v>65</v>
      </c>
      <c r="C14" s="24" t="s">
        <v>235</v>
      </c>
      <c r="D14" s="23" t="s">
        <v>219</v>
      </c>
      <c r="E14" s="23" t="s">
        <v>29</v>
      </c>
      <c r="F14" s="23" t="s">
        <v>184</v>
      </c>
      <c r="G14" s="24" t="s">
        <v>192</v>
      </c>
      <c r="H14" s="24" t="s">
        <v>236</v>
      </c>
      <c r="I14" s="23" t="s">
        <v>14</v>
      </c>
      <c r="J14" s="25"/>
      <c r="K14" s="24"/>
    </row>
    <row r="15" ht="63.75" hidden="1" customHeight="1">
      <c r="A15" s="23" t="s">
        <v>237</v>
      </c>
      <c r="B15" s="23" t="s">
        <v>65</v>
      </c>
      <c r="C15" s="24" t="s">
        <v>238</v>
      </c>
      <c r="D15" s="23" t="s">
        <v>219</v>
      </c>
      <c r="E15" s="23" t="s">
        <v>29</v>
      </c>
      <c r="F15" s="23" t="s">
        <v>184</v>
      </c>
      <c r="G15" s="24" t="s">
        <v>239</v>
      </c>
      <c r="H15" s="24" t="s">
        <v>240</v>
      </c>
      <c r="I15" s="23" t="s">
        <v>14</v>
      </c>
      <c r="J15" s="25"/>
      <c r="K15" s="24"/>
    </row>
    <row r="16" ht="63.75" customHeight="1">
      <c r="A16" s="23" t="s">
        <v>241</v>
      </c>
      <c r="B16" s="23" t="s">
        <v>65</v>
      </c>
      <c r="C16" s="24" t="s">
        <v>242</v>
      </c>
      <c r="D16" s="23" t="s">
        <v>219</v>
      </c>
      <c r="E16" s="23" t="s">
        <v>27</v>
      </c>
      <c r="F16" s="23" t="s">
        <v>184</v>
      </c>
      <c r="G16" s="24" t="s">
        <v>243</v>
      </c>
      <c r="H16" s="24" t="s">
        <v>244</v>
      </c>
      <c r="I16" s="23" t="s">
        <v>18</v>
      </c>
      <c r="J16" s="25"/>
      <c r="K16" s="24" t="s">
        <v>245</v>
      </c>
    </row>
    <row r="17" ht="63.75" hidden="1" customHeight="1">
      <c r="A17" s="23" t="s">
        <v>246</v>
      </c>
      <c r="B17" s="23" t="s">
        <v>65</v>
      </c>
      <c r="C17" s="24" t="s">
        <v>247</v>
      </c>
      <c r="D17" s="23" t="s">
        <v>219</v>
      </c>
      <c r="E17" s="23" t="s">
        <v>29</v>
      </c>
      <c r="F17" s="23" t="s">
        <v>184</v>
      </c>
      <c r="G17" s="24" t="s">
        <v>248</v>
      </c>
      <c r="H17" s="24" t="s">
        <v>249</v>
      </c>
      <c r="I17" s="23" t="s">
        <v>14</v>
      </c>
      <c r="J17" s="25"/>
      <c r="K17" s="24"/>
    </row>
    <row r="18" ht="63.75" hidden="1" customHeight="1">
      <c r="A18" s="23" t="s">
        <v>250</v>
      </c>
      <c r="B18" s="23" t="s">
        <v>65</v>
      </c>
      <c r="C18" s="24" t="s">
        <v>251</v>
      </c>
      <c r="D18" s="23" t="s">
        <v>252</v>
      </c>
      <c r="E18" s="23" t="s">
        <v>29</v>
      </c>
      <c r="F18" s="23" t="s">
        <v>184</v>
      </c>
      <c r="G18" s="24" t="s">
        <v>192</v>
      </c>
      <c r="H18" s="24" t="s">
        <v>253</v>
      </c>
      <c r="I18" s="23" t="s">
        <v>14</v>
      </c>
      <c r="J18" s="25"/>
      <c r="K18" s="24" t="s">
        <v>254</v>
      </c>
    </row>
    <row r="19" ht="63.75" hidden="1" customHeight="1">
      <c r="A19" s="23" t="s">
        <v>255</v>
      </c>
      <c r="B19" s="23" t="s">
        <v>65</v>
      </c>
      <c r="C19" s="24" t="s">
        <v>256</v>
      </c>
      <c r="D19" s="23" t="s">
        <v>219</v>
      </c>
      <c r="E19" s="23" t="s">
        <v>29</v>
      </c>
      <c r="F19" s="23" t="s">
        <v>184</v>
      </c>
      <c r="G19" s="24" t="s">
        <v>257</v>
      </c>
      <c r="H19" s="24" t="s">
        <v>258</v>
      </c>
      <c r="I19" s="23" t="s">
        <v>14</v>
      </c>
      <c r="J19" s="25"/>
      <c r="K19" s="24"/>
    </row>
    <row r="20" ht="63.75" hidden="1" customHeight="1">
      <c r="A20" s="23" t="s">
        <v>259</v>
      </c>
      <c r="B20" s="23" t="s">
        <v>65</v>
      </c>
      <c r="C20" s="24" t="s">
        <v>260</v>
      </c>
      <c r="D20" s="23" t="s">
        <v>261</v>
      </c>
      <c r="E20" s="23" t="s">
        <v>31</v>
      </c>
      <c r="F20" s="23" t="s">
        <v>184</v>
      </c>
      <c r="G20" s="24" t="s">
        <v>192</v>
      </c>
      <c r="H20" s="24" t="s">
        <v>262</v>
      </c>
      <c r="I20" s="23" t="s">
        <v>14</v>
      </c>
      <c r="J20" s="25"/>
      <c r="K20" s="24"/>
    </row>
    <row r="21" ht="63.75" hidden="1" customHeight="1">
      <c r="A21" s="23" t="s">
        <v>263</v>
      </c>
      <c r="B21" s="23" t="s">
        <v>65</v>
      </c>
      <c r="C21" s="24" t="s">
        <v>264</v>
      </c>
      <c r="D21" s="23" t="s">
        <v>261</v>
      </c>
      <c r="E21" s="23" t="s">
        <v>31</v>
      </c>
      <c r="F21" s="23" t="s">
        <v>184</v>
      </c>
      <c r="G21" s="24" t="s">
        <v>192</v>
      </c>
      <c r="H21" s="24" t="s">
        <v>265</v>
      </c>
      <c r="I21" s="23" t="s">
        <v>14</v>
      </c>
      <c r="J21" s="25"/>
      <c r="K21" s="24"/>
    </row>
    <row r="22" ht="63.75" hidden="1" customHeight="1">
      <c r="A22" s="23" t="s">
        <v>266</v>
      </c>
      <c r="B22" s="23" t="s">
        <v>65</v>
      </c>
      <c r="C22" s="24" t="s">
        <v>267</v>
      </c>
      <c r="D22" s="23" t="s">
        <v>261</v>
      </c>
      <c r="E22" s="23" t="s">
        <v>31</v>
      </c>
      <c r="F22" s="23" t="s">
        <v>184</v>
      </c>
      <c r="G22" s="24" t="s">
        <v>268</v>
      </c>
      <c r="H22" s="24" t="s">
        <v>269</v>
      </c>
      <c r="I22" s="23" t="s">
        <v>14</v>
      </c>
      <c r="J22" s="25"/>
      <c r="K22" s="24"/>
    </row>
    <row r="23" ht="63.75" hidden="1" customHeight="1">
      <c r="A23" s="23" t="s">
        <v>270</v>
      </c>
      <c r="B23" s="23" t="s">
        <v>65</v>
      </c>
      <c r="C23" s="24" t="s">
        <v>271</v>
      </c>
      <c r="D23" s="23" t="s">
        <v>272</v>
      </c>
      <c r="E23" s="23" t="s">
        <v>31</v>
      </c>
      <c r="F23" s="23" t="s">
        <v>184</v>
      </c>
      <c r="G23" s="24" t="s">
        <v>248</v>
      </c>
      <c r="H23" s="24" t="s">
        <v>273</v>
      </c>
      <c r="I23" s="23" t="s">
        <v>14</v>
      </c>
      <c r="J23" s="25"/>
      <c r="K23" s="24"/>
    </row>
    <row r="24" ht="63.75" hidden="1" customHeight="1">
      <c r="A24" s="23" t="s">
        <v>274</v>
      </c>
      <c r="B24" s="23" t="s">
        <v>65</v>
      </c>
      <c r="C24" s="24" t="s">
        <v>275</v>
      </c>
      <c r="D24" s="23" t="s">
        <v>261</v>
      </c>
      <c r="E24" s="23" t="s">
        <v>31</v>
      </c>
      <c r="F24" s="23" t="s">
        <v>184</v>
      </c>
      <c r="G24" s="24" t="s">
        <v>192</v>
      </c>
      <c r="H24" s="24" t="s">
        <v>276</v>
      </c>
      <c r="I24" s="23" t="s">
        <v>14</v>
      </c>
      <c r="J24" s="25"/>
      <c r="K24" s="24"/>
    </row>
    <row r="25" ht="63.75" hidden="1" customHeight="1">
      <c r="A25" s="23" t="s">
        <v>277</v>
      </c>
      <c r="B25" s="23" t="s">
        <v>65</v>
      </c>
      <c r="C25" s="24" t="s">
        <v>278</v>
      </c>
      <c r="D25" s="23" t="s">
        <v>261</v>
      </c>
      <c r="E25" s="23" t="s">
        <v>31</v>
      </c>
      <c r="F25" s="23" t="s">
        <v>184</v>
      </c>
      <c r="G25" s="24" t="s">
        <v>248</v>
      </c>
      <c r="H25" s="24" t="s">
        <v>279</v>
      </c>
      <c r="I25" s="23" t="s">
        <v>14</v>
      </c>
      <c r="J25" s="25"/>
      <c r="K25" s="24"/>
    </row>
    <row r="26" ht="63.75" hidden="1" customHeight="1">
      <c r="A26" s="23" t="s">
        <v>280</v>
      </c>
      <c r="B26" s="23" t="s">
        <v>65</v>
      </c>
      <c r="C26" s="24" t="s">
        <v>281</v>
      </c>
      <c r="D26" s="23" t="s">
        <v>261</v>
      </c>
      <c r="E26" s="23" t="s">
        <v>31</v>
      </c>
      <c r="F26" s="23" t="s">
        <v>184</v>
      </c>
      <c r="G26" s="24" t="s">
        <v>192</v>
      </c>
      <c r="H26" s="24" t="s">
        <v>282</v>
      </c>
      <c r="I26" s="23" t="s">
        <v>14</v>
      </c>
      <c r="J26" s="25"/>
      <c r="K26" s="24"/>
    </row>
    <row r="27" ht="63.75" hidden="1" customHeight="1">
      <c r="A27" s="23" t="s">
        <v>283</v>
      </c>
      <c r="B27" s="23" t="s">
        <v>65</v>
      </c>
      <c r="C27" s="24" t="s">
        <v>284</v>
      </c>
      <c r="D27" s="23" t="s">
        <v>252</v>
      </c>
      <c r="E27" s="23" t="s">
        <v>29</v>
      </c>
      <c r="F27" s="23" t="s">
        <v>184</v>
      </c>
      <c r="G27" s="24" t="s">
        <v>248</v>
      </c>
      <c r="H27" s="24" t="s">
        <v>285</v>
      </c>
      <c r="I27" s="23" t="s">
        <v>14</v>
      </c>
      <c r="J27" s="25"/>
      <c r="K27" s="24" t="s">
        <v>286</v>
      </c>
    </row>
    <row r="28" ht="63.75" hidden="1" customHeight="1">
      <c r="A28" s="23" t="s">
        <v>287</v>
      </c>
      <c r="B28" s="23" t="s">
        <v>65</v>
      </c>
      <c r="C28" s="24" t="s">
        <v>288</v>
      </c>
      <c r="D28" s="23" t="s">
        <v>252</v>
      </c>
      <c r="E28" s="23" t="s">
        <v>29</v>
      </c>
      <c r="F28" s="23" t="s">
        <v>184</v>
      </c>
      <c r="G28" s="24" t="s">
        <v>268</v>
      </c>
      <c r="H28" s="24" t="s">
        <v>289</v>
      </c>
      <c r="I28" s="23" t="s">
        <v>14</v>
      </c>
      <c r="J28" s="25"/>
      <c r="K28" s="24"/>
    </row>
    <row r="29" ht="63.75" hidden="1" customHeight="1">
      <c r="A29" s="23" t="s">
        <v>290</v>
      </c>
      <c r="B29" s="23" t="s">
        <v>65</v>
      </c>
      <c r="C29" s="24" t="s">
        <v>291</v>
      </c>
      <c r="D29" s="23" t="s">
        <v>197</v>
      </c>
      <c r="E29" s="23" t="s">
        <v>31</v>
      </c>
      <c r="F29" s="23" t="s">
        <v>184</v>
      </c>
      <c r="G29" s="24" t="s">
        <v>248</v>
      </c>
      <c r="H29" s="24" t="s">
        <v>292</v>
      </c>
      <c r="I29" s="23" t="s">
        <v>14</v>
      </c>
      <c r="J29" s="25"/>
      <c r="K29" s="24"/>
    </row>
    <row r="30" ht="63.75" customHeight="1">
      <c r="A30" s="23" t="s">
        <v>293</v>
      </c>
      <c r="B30" s="23" t="s">
        <v>66</v>
      </c>
      <c r="C30" s="24" t="s">
        <v>294</v>
      </c>
      <c r="D30" s="23" t="s">
        <v>219</v>
      </c>
      <c r="E30" s="23" t="s">
        <v>27</v>
      </c>
      <c r="F30" s="23" t="s">
        <v>295</v>
      </c>
      <c r="G30" s="24" t="s">
        <v>296</v>
      </c>
      <c r="H30" s="24" t="s">
        <v>297</v>
      </c>
      <c r="I30" s="23" t="s">
        <v>18</v>
      </c>
      <c r="J30" s="25"/>
      <c r="K30" s="24" t="s">
        <v>298</v>
      </c>
    </row>
    <row r="31" ht="63.75" hidden="1" customHeight="1">
      <c r="A31" s="23" t="s">
        <v>299</v>
      </c>
      <c r="B31" s="23" t="s">
        <v>66</v>
      </c>
      <c r="C31" s="24" t="s">
        <v>300</v>
      </c>
      <c r="D31" s="23" t="s">
        <v>261</v>
      </c>
      <c r="E31" s="23" t="s">
        <v>31</v>
      </c>
      <c r="F31" s="23" t="s">
        <v>295</v>
      </c>
      <c r="G31" s="24" t="s">
        <v>301</v>
      </c>
      <c r="H31" s="24" t="s">
        <v>302</v>
      </c>
      <c r="I31" s="23" t="s">
        <v>14</v>
      </c>
      <c r="J31" s="25"/>
      <c r="K31" s="24" t="s">
        <v>298</v>
      </c>
    </row>
    <row r="32" ht="63.75" hidden="1" customHeight="1">
      <c r="A32" s="23" t="s">
        <v>303</v>
      </c>
      <c r="B32" s="23" t="s">
        <v>66</v>
      </c>
      <c r="C32" s="24" t="s">
        <v>304</v>
      </c>
      <c r="D32" s="23" t="s">
        <v>261</v>
      </c>
      <c r="E32" s="23" t="s">
        <v>31</v>
      </c>
      <c r="F32" s="23" t="s">
        <v>295</v>
      </c>
      <c r="G32" s="24" t="s">
        <v>305</v>
      </c>
      <c r="H32" s="24" t="s">
        <v>306</v>
      </c>
      <c r="I32" s="23" t="s">
        <v>14</v>
      </c>
      <c r="J32" s="25"/>
      <c r="K32" s="24" t="s">
        <v>298</v>
      </c>
    </row>
    <row r="33" ht="63.75" customHeight="1">
      <c r="A33" s="23" t="s">
        <v>307</v>
      </c>
      <c r="B33" s="23" t="s">
        <v>66</v>
      </c>
      <c r="C33" s="24" t="s">
        <v>308</v>
      </c>
      <c r="D33" s="23" t="s">
        <v>211</v>
      </c>
      <c r="E33" s="23" t="s">
        <v>27</v>
      </c>
      <c r="F33" s="23" t="s">
        <v>295</v>
      </c>
      <c r="G33" s="24" t="s">
        <v>309</v>
      </c>
      <c r="H33" s="24" t="s">
        <v>310</v>
      </c>
      <c r="I33" s="23" t="s">
        <v>18</v>
      </c>
      <c r="J33" s="25"/>
      <c r="K33" s="24" t="s">
        <v>298</v>
      </c>
    </row>
    <row r="34" ht="63.75" customHeight="1">
      <c r="A34" s="23" t="s">
        <v>311</v>
      </c>
      <c r="B34" s="23" t="s">
        <v>66</v>
      </c>
      <c r="C34" s="24" t="s">
        <v>312</v>
      </c>
      <c r="D34" s="23" t="s">
        <v>215</v>
      </c>
      <c r="E34" s="23" t="s">
        <v>27</v>
      </c>
      <c r="F34" s="23" t="s">
        <v>295</v>
      </c>
      <c r="G34" s="24" t="s">
        <v>313</v>
      </c>
      <c r="H34" s="24" t="s">
        <v>314</v>
      </c>
      <c r="I34" s="23" t="s">
        <v>18</v>
      </c>
      <c r="J34" s="25"/>
      <c r="K34" s="24" t="s">
        <v>298</v>
      </c>
    </row>
    <row r="35" ht="63.75" customHeight="1">
      <c r="A35" s="23" t="s">
        <v>315</v>
      </c>
      <c r="B35" s="23" t="s">
        <v>66</v>
      </c>
      <c r="C35" s="24" t="s">
        <v>316</v>
      </c>
      <c r="D35" s="23" t="s">
        <v>219</v>
      </c>
      <c r="E35" s="23" t="s">
        <v>27</v>
      </c>
      <c r="F35" s="23" t="s">
        <v>295</v>
      </c>
      <c r="G35" s="24" t="s">
        <v>317</v>
      </c>
      <c r="H35" s="24" t="s">
        <v>318</v>
      </c>
      <c r="I35" s="23" t="s">
        <v>18</v>
      </c>
      <c r="J35" s="25"/>
      <c r="K35" s="24" t="s">
        <v>298</v>
      </c>
    </row>
    <row r="36" ht="63.75" customHeight="1">
      <c r="A36" s="23" t="s">
        <v>319</v>
      </c>
      <c r="B36" s="23" t="s">
        <v>66</v>
      </c>
      <c r="C36" s="24" t="s">
        <v>320</v>
      </c>
      <c r="D36" s="23" t="s">
        <v>219</v>
      </c>
      <c r="E36" s="23" t="s">
        <v>27</v>
      </c>
      <c r="F36" s="23" t="s">
        <v>295</v>
      </c>
      <c r="G36" s="24" t="s">
        <v>321</v>
      </c>
      <c r="H36" s="24" t="s">
        <v>322</v>
      </c>
      <c r="I36" s="23" t="s">
        <v>18</v>
      </c>
      <c r="J36" s="25"/>
      <c r="K36" s="24" t="s">
        <v>298</v>
      </c>
    </row>
    <row r="37" ht="63.75" customHeight="1">
      <c r="A37" s="23" t="s">
        <v>323</v>
      </c>
      <c r="B37" s="23" t="s">
        <v>66</v>
      </c>
      <c r="C37" s="24" t="s">
        <v>324</v>
      </c>
      <c r="D37" s="23" t="s">
        <v>219</v>
      </c>
      <c r="E37" s="23" t="s">
        <v>27</v>
      </c>
      <c r="F37" s="23" t="s">
        <v>295</v>
      </c>
      <c r="G37" s="24" t="s">
        <v>325</v>
      </c>
      <c r="H37" s="24" t="s">
        <v>326</v>
      </c>
      <c r="I37" s="23" t="s">
        <v>18</v>
      </c>
      <c r="J37" s="25"/>
      <c r="K37" s="24" t="s">
        <v>298</v>
      </c>
    </row>
    <row r="38" ht="63.75" hidden="1" customHeight="1">
      <c r="A38" s="23" t="s">
        <v>327</v>
      </c>
      <c r="B38" s="23" t="s">
        <v>66</v>
      </c>
      <c r="C38" s="24" t="s">
        <v>328</v>
      </c>
      <c r="D38" s="23" t="s">
        <v>219</v>
      </c>
      <c r="E38" s="23" t="s">
        <v>29</v>
      </c>
      <c r="F38" s="23" t="s">
        <v>295</v>
      </c>
      <c r="G38" s="24" t="s">
        <v>329</v>
      </c>
      <c r="H38" s="24" t="s">
        <v>330</v>
      </c>
      <c r="I38" s="23" t="s">
        <v>14</v>
      </c>
      <c r="J38" s="25"/>
      <c r="K38" s="24" t="s">
        <v>298</v>
      </c>
    </row>
    <row r="39" ht="63.75" hidden="1" customHeight="1">
      <c r="A39" s="23" t="s">
        <v>331</v>
      </c>
      <c r="B39" s="23" t="s">
        <v>66</v>
      </c>
      <c r="C39" s="24" t="s">
        <v>332</v>
      </c>
      <c r="D39" s="23" t="s">
        <v>333</v>
      </c>
      <c r="E39" s="23" t="s">
        <v>29</v>
      </c>
      <c r="F39" s="23" t="s">
        <v>295</v>
      </c>
      <c r="G39" s="24" t="s">
        <v>334</v>
      </c>
      <c r="H39" s="24" t="s">
        <v>335</v>
      </c>
      <c r="I39" s="23" t="s">
        <v>14</v>
      </c>
      <c r="J39" s="25"/>
      <c r="K39" s="24" t="s">
        <v>298</v>
      </c>
    </row>
    <row r="40" ht="63.75" hidden="1" customHeight="1">
      <c r="A40" s="23" t="s">
        <v>336</v>
      </c>
      <c r="B40" s="23" t="s">
        <v>66</v>
      </c>
      <c r="C40" s="24" t="s">
        <v>337</v>
      </c>
      <c r="D40" s="23" t="s">
        <v>219</v>
      </c>
      <c r="E40" s="23" t="s">
        <v>29</v>
      </c>
      <c r="F40" s="23" t="s">
        <v>295</v>
      </c>
      <c r="G40" s="24" t="s">
        <v>338</v>
      </c>
      <c r="H40" s="24" t="s">
        <v>339</v>
      </c>
      <c r="I40" s="23" t="s">
        <v>14</v>
      </c>
      <c r="J40" s="25"/>
      <c r="K40" s="24" t="s">
        <v>298</v>
      </c>
    </row>
    <row r="41" ht="63.75" hidden="1" customHeight="1">
      <c r="A41" s="23" t="s">
        <v>340</v>
      </c>
      <c r="B41" s="23" t="s">
        <v>66</v>
      </c>
      <c r="C41" s="24" t="s">
        <v>260</v>
      </c>
      <c r="D41" s="23" t="s">
        <v>261</v>
      </c>
      <c r="E41" s="23" t="s">
        <v>31</v>
      </c>
      <c r="F41" s="23" t="s">
        <v>295</v>
      </c>
      <c r="G41" s="24" t="s">
        <v>341</v>
      </c>
      <c r="H41" s="24" t="s">
        <v>342</v>
      </c>
      <c r="I41" s="23" t="s">
        <v>14</v>
      </c>
      <c r="J41" s="25"/>
      <c r="K41" s="24" t="s">
        <v>298</v>
      </c>
    </row>
    <row r="42" ht="63.75" hidden="1" customHeight="1">
      <c r="A42" s="23" t="s">
        <v>343</v>
      </c>
      <c r="B42" s="23" t="s">
        <v>66</v>
      </c>
      <c r="C42" s="24" t="s">
        <v>264</v>
      </c>
      <c r="D42" s="23" t="s">
        <v>261</v>
      </c>
      <c r="E42" s="23" t="s">
        <v>31</v>
      </c>
      <c r="F42" s="23" t="s">
        <v>295</v>
      </c>
      <c r="G42" s="24" t="s">
        <v>344</v>
      </c>
      <c r="H42" s="24" t="s">
        <v>345</v>
      </c>
      <c r="I42" s="23" t="s">
        <v>14</v>
      </c>
      <c r="J42" s="25"/>
      <c r="K42" s="24" t="s">
        <v>298</v>
      </c>
    </row>
    <row r="43" ht="63.75" hidden="1" customHeight="1">
      <c r="A43" s="23" t="s">
        <v>346</v>
      </c>
      <c r="B43" s="23" t="s">
        <v>66</v>
      </c>
      <c r="C43" s="24" t="s">
        <v>347</v>
      </c>
      <c r="D43" s="23" t="s">
        <v>348</v>
      </c>
      <c r="E43" s="23" t="s">
        <v>29</v>
      </c>
      <c r="F43" s="23" t="s">
        <v>295</v>
      </c>
      <c r="G43" s="24" t="s">
        <v>349</v>
      </c>
      <c r="H43" s="24" t="s">
        <v>350</v>
      </c>
      <c r="I43" s="23" t="s">
        <v>14</v>
      </c>
      <c r="J43" s="25"/>
      <c r="K43" s="24" t="s">
        <v>298</v>
      </c>
    </row>
    <row r="44" ht="63.75" customHeight="1">
      <c r="A44" s="23" t="s">
        <v>351</v>
      </c>
      <c r="B44" s="23" t="s">
        <v>67</v>
      </c>
      <c r="C44" s="24" t="s">
        <v>352</v>
      </c>
      <c r="D44" s="23" t="s">
        <v>219</v>
      </c>
      <c r="E44" s="23" t="s">
        <v>27</v>
      </c>
      <c r="F44" s="23" t="s">
        <v>353</v>
      </c>
      <c r="G44" s="24" t="s">
        <v>192</v>
      </c>
      <c r="H44" s="24" t="s">
        <v>354</v>
      </c>
      <c r="I44" s="23" t="s">
        <v>18</v>
      </c>
      <c r="J44" s="25"/>
      <c r="K44" s="24" t="s">
        <v>355</v>
      </c>
    </row>
    <row r="45" ht="63.75" customHeight="1">
      <c r="A45" s="23" t="s">
        <v>356</v>
      </c>
      <c r="B45" s="23" t="s">
        <v>67</v>
      </c>
      <c r="C45" s="24" t="s">
        <v>357</v>
      </c>
      <c r="D45" s="23" t="s">
        <v>219</v>
      </c>
      <c r="E45" s="23" t="s">
        <v>27</v>
      </c>
      <c r="F45" s="23" t="s">
        <v>353</v>
      </c>
      <c r="G45" s="24" t="s">
        <v>192</v>
      </c>
      <c r="H45" s="24" t="s">
        <v>358</v>
      </c>
      <c r="I45" s="23" t="s">
        <v>18</v>
      </c>
      <c r="J45" s="25"/>
      <c r="K45" s="24" t="s">
        <v>355</v>
      </c>
    </row>
    <row r="46" ht="63.75" customHeight="1">
      <c r="A46" s="23" t="s">
        <v>359</v>
      </c>
      <c r="B46" s="23" t="s">
        <v>67</v>
      </c>
      <c r="C46" s="24" t="s">
        <v>360</v>
      </c>
      <c r="D46" s="23" t="s">
        <v>219</v>
      </c>
      <c r="E46" s="23" t="s">
        <v>27</v>
      </c>
      <c r="F46" s="23" t="s">
        <v>353</v>
      </c>
      <c r="G46" s="24" t="s">
        <v>192</v>
      </c>
      <c r="H46" s="24" t="s">
        <v>361</v>
      </c>
      <c r="I46" s="23" t="s">
        <v>18</v>
      </c>
      <c r="J46" s="25"/>
      <c r="K46" s="24" t="s">
        <v>355</v>
      </c>
    </row>
    <row r="47" ht="63.75" hidden="1" customHeight="1">
      <c r="A47" s="23" t="s">
        <v>362</v>
      </c>
      <c r="B47" s="23" t="s">
        <v>67</v>
      </c>
      <c r="C47" s="24" t="s">
        <v>363</v>
      </c>
      <c r="D47" s="23" t="s">
        <v>219</v>
      </c>
      <c r="E47" s="23" t="s">
        <v>29</v>
      </c>
      <c r="F47" s="23" t="s">
        <v>353</v>
      </c>
      <c r="G47" s="24" t="s">
        <v>192</v>
      </c>
      <c r="H47" s="24" t="s">
        <v>364</v>
      </c>
      <c r="I47" s="23" t="s">
        <v>14</v>
      </c>
      <c r="J47" s="25"/>
      <c r="K47" s="24" t="s">
        <v>355</v>
      </c>
    </row>
    <row r="48" ht="63.75" hidden="1" customHeight="1">
      <c r="A48" s="23" t="s">
        <v>365</v>
      </c>
      <c r="B48" s="23" t="s">
        <v>67</v>
      </c>
      <c r="C48" s="24" t="s">
        <v>366</v>
      </c>
      <c r="D48" s="23" t="s">
        <v>219</v>
      </c>
      <c r="E48" s="23" t="s">
        <v>29</v>
      </c>
      <c r="F48" s="23" t="s">
        <v>353</v>
      </c>
      <c r="G48" s="24" t="s">
        <v>192</v>
      </c>
      <c r="H48" s="24" t="s">
        <v>367</v>
      </c>
      <c r="I48" s="23" t="s">
        <v>14</v>
      </c>
      <c r="J48" s="25"/>
      <c r="K48" s="24" t="s">
        <v>355</v>
      </c>
    </row>
    <row r="49" ht="63.75" hidden="1" customHeight="1">
      <c r="A49" s="23" t="s">
        <v>368</v>
      </c>
      <c r="B49" s="23" t="s">
        <v>67</v>
      </c>
      <c r="C49" s="24" t="s">
        <v>369</v>
      </c>
      <c r="D49" s="23" t="s">
        <v>370</v>
      </c>
      <c r="E49" s="23" t="s">
        <v>29</v>
      </c>
      <c r="F49" s="23" t="s">
        <v>353</v>
      </c>
      <c r="G49" s="24" t="s">
        <v>192</v>
      </c>
      <c r="H49" s="24" t="s">
        <v>371</v>
      </c>
      <c r="I49" s="23" t="s">
        <v>14</v>
      </c>
      <c r="J49" s="25"/>
      <c r="K49" s="24" t="s">
        <v>355</v>
      </c>
    </row>
    <row r="50" ht="63.75" hidden="1" customHeight="1">
      <c r="A50" s="23" t="s">
        <v>372</v>
      </c>
      <c r="B50" s="23" t="s">
        <v>67</v>
      </c>
      <c r="C50" s="24" t="s">
        <v>373</v>
      </c>
      <c r="D50" s="23" t="s">
        <v>370</v>
      </c>
      <c r="E50" s="23" t="s">
        <v>29</v>
      </c>
      <c r="F50" s="23" t="s">
        <v>353</v>
      </c>
      <c r="G50" s="24" t="s">
        <v>192</v>
      </c>
      <c r="H50" s="24" t="s">
        <v>374</v>
      </c>
      <c r="I50" s="23" t="s">
        <v>14</v>
      </c>
      <c r="J50" s="25"/>
      <c r="K50" s="24" t="s">
        <v>355</v>
      </c>
    </row>
    <row r="51" ht="63.75" hidden="1" customHeight="1">
      <c r="A51" s="23" t="s">
        <v>375</v>
      </c>
      <c r="B51" s="23" t="s">
        <v>67</v>
      </c>
      <c r="C51" s="24" t="s">
        <v>376</v>
      </c>
      <c r="D51" s="23" t="s">
        <v>370</v>
      </c>
      <c r="E51" s="23" t="s">
        <v>29</v>
      </c>
      <c r="F51" s="23" t="s">
        <v>353</v>
      </c>
      <c r="G51" s="24" t="s">
        <v>192</v>
      </c>
      <c r="H51" s="24" t="s">
        <v>377</v>
      </c>
      <c r="I51" s="23" t="s">
        <v>14</v>
      </c>
      <c r="J51" s="25"/>
      <c r="K51" s="24" t="s">
        <v>355</v>
      </c>
    </row>
    <row r="52" ht="63.75" hidden="1" customHeight="1">
      <c r="A52" s="23" t="s">
        <v>378</v>
      </c>
      <c r="B52" s="23" t="s">
        <v>67</v>
      </c>
      <c r="C52" s="24" t="s">
        <v>379</v>
      </c>
      <c r="D52" s="23" t="s">
        <v>333</v>
      </c>
      <c r="E52" s="23" t="s">
        <v>33</v>
      </c>
      <c r="F52" s="23" t="s">
        <v>353</v>
      </c>
      <c r="G52" s="24" t="s">
        <v>192</v>
      </c>
      <c r="H52" s="24" t="s">
        <v>380</v>
      </c>
      <c r="I52" s="23" t="s">
        <v>14</v>
      </c>
      <c r="J52" s="25"/>
      <c r="K52" s="24" t="s">
        <v>355</v>
      </c>
    </row>
    <row r="53" ht="63.75" hidden="1" customHeight="1">
      <c r="A53" s="23" t="s">
        <v>381</v>
      </c>
      <c r="B53" s="23" t="s">
        <v>67</v>
      </c>
      <c r="C53" s="24" t="s">
        <v>382</v>
      </c>
      <c r="D53" s="23" t="s">
        <v>197</v>
      </c>
      <c r="E53" s="23" t="s">
        <v>31</v>
      </c>
      <c r="F53" s="23" t="s">
        <v>353</v>
      </c>
      <c r="G53" s="24" t="s">
        <v>192</v>
      </c>
      <c r="H53" s="24" t="s">
        <v>383</v>
      </c>
      <c r="I53" s="23" t="s">
        <v>14</v>
      </c>
      <c r="J53" s="25"/>
      <c r="K53" s="24" t="s">
        <v>355</v>
      </c>
    </row>
    <row r="54" ht="63.75" hidden="1" customHeight="1">
      <c r="A54" s="23" t="s">
        <v>384</v>
      </c>
      <c r="B54" s="23" t="s">
        <v>67</v>
      </c>
      <c r="C54" s="24" t="s">
        <v>385</v>
      </c>
      <c r="D54" s="23" t="s">
        <v>197</v>
      </c>
      <c r="E54" s="23" t="s">
        <v>31</v>
      </c>
      <c r="F54" s="23" t="s">
        <v>353</v>
      </c>
      <c r="G54" s="24" t="s">
        <v>192</v>
      </c>
      <c r="H54" s="24" t="s">
        <v>386</v>
      </c>
      <c r="I54" s="23" t="s">
        <v>14</v>
      </c>
      <c r="J54" s="25"/>
      <c r="K54" s="24" t="s">
        <v>355</v>
      </c>
    </row>
    <row r="55" ht="63.75" hidden="1" customHeight="1">
      <c r="A55" s="23" t="s">
        <v>387</v>
      </c>
      <c r="B55" s="23" t="s">
        <v>67</v>
      </c>
      <c r="C55" s="24" t="s">
        <v>388</v>
      </c>
      <c r="D55" s="23" t="s">
        <v>261</v>
      </c>
      <c r="E55" s="23" t="s">
        <v>31</v>
      </c>
      <c r="F55" s="23" t="s">
        <v>353</v>
      </c>
      <c r="G55" s="24" t="s">
        <v>192</v>
      </c>
      <c r="H55" s="24" t="s">
        <v>389</v>
      </c>
      <c r="I55" s="23" t="s">
        <v>14</v>
      </c>
      <c r="J55" s="25"/>
      <c r="K55" s="24" t="s">
        <v>355</v>
      </c>
    </row>
    <row r="56" ht="63.75" hidden="1" customHeight="1">
      <c r="A56" s="23" t="s">
        <v>390</v>
      </c>
      <c r="B56" s="23" t="s">
        <v>67</v>
      </c>
      <c r="C56" s="24" t="s">
        <v>391</v>
      </c>
      <c r="D56" s="23" t="s">
        <v>261</v>
      </c>
      <c r="E56" s="23" t="s">
        <v>31</v>
      </c>
      <c r="F56" s="23" t="s">
        <v>353</v>
      </c>
      <c r="G56" s="24" t="s">
        <v>192</v>
      </c>
      <c r="H56" s="24" t="s">
        <v>392</v>
      </c>
      <c r="I56" s="23" t="s">
        <v>14</v>
      </c>
      <c r="J56" s="25"/>
      <c r="K56" s="24" t="s">
        <v>355</v>
      </c>
    </row>
    <row r="57" ht="63.75" hidden="1" customHeight="1">
      <c r="A57" s="23" t="s">
        <v>393</v>
      </c>
      <c r="B57" s="23" t="s">
        <v>67</v>
      </c>
      <c r="C57" s="24" t="s">
        <v>394</v>
      </c>
      <c r="D57" s="23" t="s">
        <v>395</v>
      </c>
      <c r="E57" s="23" t="s">
        <v>33</v>
      </c>
      <c r="F57" s="23" t="s">
        <v>353</v>
      </c>
      <c r="G57" s="24" t="s">
        <v>192</v>
      </c>
      <c r="H57" s="24" t="s">
        <v>396</v>
      </c>
      <c r="I57" s="23" t="s">
        <v>14</v>
      </c>
      <c r="J57" s="25"/>
      <c r="K57" s="24" t="s">
        <v>355</v>
      </c>
    </row>
    <row r="58" ht="63.75" hidden="1" customHeight="1">
      <c r="A58" s="23" t="s">
        <v>397</v>
      </c>
      <c r="B58" s="23" t="s">
        <v>67</v>
      </c>
      <c r="C58" s="24" t="s">
        <v>398</v>
      </c>
      <c r="D58" s="23" t="s">
        <v>348</v>
      </c>
      <c r="E58" s="23" t="s">
        <v>33</v>
      </c>
      <c r="F58" s="23" t="s">
        <v>353</v>
      </c>
      <c r="G58" s="24" t="s">
        <v>192</v>
      </c>
      <c r="H58" s="24" t="s">
        <v>399</v>
      </c>
      <c r="I58" s="23" t="s">
        <v>14</v>
      </c>
      <c r="J58" s="25"/>
      <c r="K58" s="24" t="s">
        <v>355</v>
      </c>
    </row>
    <row r="59" ht="63.75" customHeight="1">
      <c r="A59" s="23" t="s">
        <v>400</v>
      </c>
      <c r="B59" s="23" t="s">
        <v>67</v>
      </c>
      <c r="C59" s="24" t="s">
        <v>401</v>
      </c>
      <c r="D59" s="23" t="s">
        <v>402</v>
      </c>
      <c r="E59" s="23" t="s">
        <v>27</v>
      </c>
      <c r="F59" s="23" t="s">
        <v>353</v>
      </c>
      <c r="G59" s="24" t="s">
        <v>192</v>
      </c>
      <c r="H59" s="24" t="s">
        <v>403</v>
      </c>
      <c r="I59" s="23" t="s">
        <v>18</v>
      </c>
      <c r="J59" s="25"/>
      <c r="K59" s="24" t="s">
        <v>355</v>
      </c>
    </row>
    <row r="60" ht="63.75" hidden="1" customHeight="1">
      <c r="A60" s="23" t="s">
        <v>404</v>
      </c>
      <c r="B60" s="23" t="s">
        <v>68</v>
      </c>
      <c r="C60" s="24" t="s">
        <v>405</v>
      </c>
      <c r="D60" s="23" t="s">
        <v>406</v>
      </c>
      <c r="E60" s="23" t="s">
        <v>29</v>
      </c>
      <c r="F60" s="23" t="s">
        <v>407</v>
      </c>
      <c r="G60" s="24" t="s">
        <v>408</v>
      </c>
      <c r="H60" s="24" t="s">
        <v>409</v>
      </c>
      <c r="I60" s="23" t="s">
        <v>14</v>
      </c>
      <c r="J60" s="25"/>
      <c r="K60" s="24"/>
    </row>
    <row r="61" ht="63.75" hidden="1" customHeight="1">
      <c r="A61" s="23" t="s">
        <v>410</v>
      </c>
      <c r="B61" s="23" t="s">
        <v>68</v>
      </c>
      <c r="C61" s="24" t="s">
        <v>411</v>
      </c>
      <c r="D61" s="23" t="s">
        <v>370</v>
      </c>
      <c r="E61" s="23" t="s">
        <v>29</v>
      </c>
      <c r="F61" s="23" t="s">
        <v>407</v>
      </c>
      <c r="G61" s="24" t="s">
        <v>408</v>
      </c>
      <c r="H61" s="24" t="s">
        <v>412</v>
      </c>
      <c r="I61" s="23" t="s">
        <v>14</v>
      </c>
      <c r="J61" s="25"/>
      <c r="K61" s="24"/>
    </row>
    <row r="62" ht="63.75" hidden="1" customHeight="1">
      <c r="A62" s="23" t="s">
        <v>413</v>
      </c>
      <c r="B62" s="23" t="s">
        <v>68</v>
      </c>
      <c r="C62" s="24" t="s">
        <v>414</v>
      </c>
      <c r="D62" s="23" t="s">
        <v>207</v>
      </c>
      <c r="E62" s="23" t="s">
        <v>31</v>
      </c>
      <c r="F62" s="23" t="s">
        <v>407</v>
      </c>
      <c r="G62" s="24" t="s">
        <v>408</v>
      </c>
      <c r="H62" s="24" t="s">
        <v>415</v>
      </c>
      <c r="I62" s="23" t="s">
        <v>14</v>
      </c>
      <c r="J62" s="25"/>
      <c r="K62" s="24"/>
    </row>
    <row r="63" ht="63.75" customHeight="1">
      <c r="A63" s="23" t="s">
        <v>416</v>
      </c>
      <c r="B63" s="23" t="s">
        <v>68</v>
      </c>
      <c r="C63" s="24" t="s">
        <v>417</v>
      </c>
      <c r="D63" s="23" t="s">
        <v>219</v>
      </c>
      <c r="E63" s="23" t="s">
        <v>27</v>
      </c>
      <c r="F63" s="23" t="s">
        <v>407</v>
      </c>
      <c r="G63" s="24" t="s">
        <v>408</v>
      </c>
      <c r="H63" s="24" t="s">
        <v>418</v>
      </c>
      <c r="I63" s="23" t="s">
        <v>18</v>
      </c>
      <c r="J63" s="25"/>
      <c r="K63" s="24"/>
    </row>
    <row r="64" ht="63.75" hidden="1" customHeight="1">
      <c r="A64" s="23" t="s">
        <v>419</v>
      </c>
      <c r="B64" s="23" t="s">
        <v>68</v>
      </c>
      <c r="C64" s="24" t="s">
        <v>420</v>
      </c>
      <c r="D64" s="23" t="s">
        <v>348</v>
      </c>
      <c r="E64" s="23" t="s">
        <v>29</v>
      </c>
      <c r="F64" s="23" t="s">
        <v>407</v>
      </c>
      <c r="G64" s="24" t="s">
        <v>408</v>
      </c>
      <c r="H64" s="24" t="s">
        <v>421</v>
      </c>
      <c r="I64" s="23" t="s">
        <v>14</v>
      </c>
      <c r="J64" s="25"/>
      <c r="K64" s="24"/>
    </row>
    <row r="65" ht="63.75" hidden="1" customHeight="1">
      <c r="A65" s="23" t="s">
        <v>422</v>
      </c>
      <c r="B65" s="23" t="s">
        <v>68</v>
      </c>
      <c r="C65" s="24" t="s">
        <v>423</v>
      </c>
      <c r="D65" s="23" t="s">
        <v>348</v>
      </c>
      <c r="E65" s="23" t="s">
        <v>29</v>
      </c>
      <c r="F65" s="23" t="s">
        <v>407</v>
      </c>
      <c r="G65" s="24" t="s">
        <v>408</v>
      </c>
      <c r="H65" s="24" t="s">
        <v>424</v>
      </c>
      <c r="I65" s="23" t="s">
        <v>14</v>
      </c>
      <c r="J65" s="25"/>
      <c r="K65" s="24"/>
    </row>
    <row r="66" ht="63.75" customHeight="1">
      <c r="A66" s="23" t="s">
        <v>425</v>
      </c>
      <c r="B66" s="23" t="s">
        <v>68</v>
      </c>
      <c r="C66" s="24" t="s">
        <v>426</v>
      </c>
      <c r="D66" s="23" t="s">
        <v>427</v>
      </c>
      <c r="E66" s="23" t="s">
        <v>27</v>
      </c>
      <c r="F66" s="23" t="s">
        <v>407</v>
      </c>
      <c r="G66" s="24" t="s">
        <v>408</v>
      </c>
      <c r="H66" s="24" t="s">
        <v>428</v>
      </c>
      <c r="I66" s="23" t="s">
        <v>18</v>
      </c>
      <c r="J66" s="25"/>
      <c r="K66" s="24"/>
    </row>
    <row r="67" ht="63.75" customHeight="1">
      <c r="A67" s="23" t="s">
        <v>429</v>
      </c>
      <c r="B67" s="23" t="s">
        <v>68</v>
      </c>
      <c r="C67" s="24" t="s">
        <v>430</v>
      </c>
      <c r="D67" s="23" t="s">
        <v>348</v>
      </c>
      <c r="E67" s="23" t="s">
        <v>27</v>
      </c>
      <c r="F67" s="23" t="s">
        <v>407</v>
      </c>
      <c r="G67" s="24" t="s">
        <v>408</v>
      </c>
      <c r="H67" s="24" t="s">
        <v>431</v>
      </c>
      <c r="I67" s="23" t="s">
        <v>18</v>
      </c>
      <c r="J67" s="25"/>
      <c r="K67" s="24"/>
    </row>
    <row r="68" ht="63.75" hidden="1" customHeight="1">
      <c r="A68" s="23" t="s">
        <v>432</v>
      </c>
      <c r="B68" s="23" t="s">
        <v>68</v>
      </c>
      <c r="C68" s="24" t="s">
        <v>433</v>
      </c>
      <c r="D68" s="23" t="s">
        <v>348</v>
      </c>
      <c r="E68" s="23" t="s">
        <v>29</v>
      </c>
      <c r="F68" s="23" t="s">
        <v>407</v>
      </c>
      <c r="G68" s="24" t="s">
        <v>408</v>
      </c>
      <c r="H68" s="24" t="s">
        <v>434</v>
      </c>
      <c r="I68" s="23" t="s">
        <v>14</v>
      </c>
      <c r="J68" s="25"/>
      <c r="K68" s="24"/>
    </row>
    <row r="69" ht="63.75" hidden="1" customHeight="1">
      <c r="A69" s="23" t="s">
        <v>435</v>
      </c>
      <c r="B69" s="23" t="s">
        <v>68</v>
      </c>
      <c r="C69" s="24" t="s">
        <v>436</v>
      </c>
      <c r="D69" s="23" t="s">
        <v>348</v>
      </c>
      <c r="E69" s="23" t="s">
        <v>29</v>
      </c>
      <c r="F69" s="23" t="s">
        <v>407</v>
      </c>
      <c r="G69" s="24" t="s">
        <v>408</v>
      </c>
      <c r="H69" s="24" t="s">
        <v>437</v>
      </c>
      <c r="I69" s="23" t="s">
        <v>14</v>
      </c>
      <c r="J69" s="25"/>
      <c r="K69" s="24"/>
    </row>
    <row r="70" ht="63.75" hidden="1" customHeight="1">
      <c r="A70" s="23" t="s">
        <v>438</v>
      </c>
      <c r="B70" s="23" t="s">
        <v>68</v>
      </c>
      <c r="C70" s="24" t="s">
        <v>439</v>
      </c>
      <c r="D70" s="23" t="s">
        <v>261</v>
      </c>
      <c r="E70" s="23" t="s">
        <v>31</v>
      </c>
      <c r="F70" s="23" t="s">
        <v>407</v>
      </c>
      <c r="G70" s="24" t="s">
        <v>408</v>
      </c>
      <c r="H70" s="24" t="s">
        <v>440</v>
      </c>
      <c r="I70" s="23" t="s">
        <v>14</v>
      </c>
      <c r="J70" s="25"/>
      <c r="K70" s="24"/>
    </row>
    <row r="71" ht="63.75" hidden="1" customHeight="1">
      <c r="A71" s="23" t="s">
        <v>441</v>
      </c>
      <c r="B71" s="23" t="s">
        <v>68</v>
      </c>
      <c r="C71" s="24" t="s">
        <v>442</v>
      </c>
      <c r="D71" s="23" t="s">
        <v>261</v>
      </c>
      <c r="E71" s="23" t="s">
        <v>31</v>
      </c>
      <c r="F71" s="23" t="s">
        <v>407</v>
      </c>
      <c r="G71" s="24" t="s">
        <v>408</v>
      </c>
      <c r="H71" s="24" t="s">
        <v>443</v>
      </c>
      <c r="I71" s="23" t="s">
        <v>14</v>
      </c>
      <c r="J71" s="25"/>
      <c r="K71" s="24"/>
    </row>
    <row r="72" ht="63.75" hidden="1" customHeight="1">
      <c r="A72" s="23" t="s">
        <v>444</v>
      </c>
      <c r="B72" s="23" t="s">
        <v>68</v>
      </c>
      <c r="C72" s="24" t="s">
        <v>445</v>
      </c>
      <c r="D72" s="23" t="s">
        <v>261</v>
      </c>
      <c r="E72" s="23" t="s">
        <v>31</v>
      </c>
      <c r="F72" s="23" t="s">
        <v>407</v>
      </c>
      <c r="G72" s="24" t="s">
        <v>408</v>
      </c>
      <c r="H72" s="24" t="s">
        <v>446</v>
      </c>
      <c r="I72" s="23" t="s">
        <v>14</v>
      </c>
      <c r="J72" s="25"/>
      <c r="K72" s="24"/>
    </row>
    <row r="73" ht="63.75" hidden="1" customHeight="1">
      <c r="A73" s="23" t="s">
        <v>447</v>
      </c>
      <c r="B73" s="23" t="s">
        <v>68</v>
      </c>
      <c r="C73" s="24" t="s">
        <v>448</v>
      </c>
      <c r="D73" s="23" t="s">
        <v>261</v>
      </c>
      <c r="E73" s="23" t="s">
        <v>31</v>
      </c>
      <c r="F73" s="23" t="s">
        <v>407</v>
      </c>
      <c r="G73" s="24" t="s">
        <v>408</v>
      </c>
      <c r="H73" s="24" t="s">
        <v>449</v>
      </c>
      <c r="I73" s="23" t="s">
        <v>14</v>
      </c>
      <c r="J73" s="25"/>
      <c r="K73" s="24"/>
    </row>
    <row r="74" ht="63.75" customHeight="1">
      <c r="A74" s="23" t="s">
        <v>450</v>
      </c>
      <c r="B74" s="23" t="s">
        <v>68</v>
      </c>
      <c r="C74" s="24" t="s">
        <v>451</v>
      </c>
      <c r="D74" s="23" t="s">
        <v>219</v>
      </c>
      <c r="E74" s="23" t="s">
        <v>27</v>
      </c>
      <c r="F74" s="23" t="s">
        <v>407</v>
      </c>
      <c r="G74" s="24" t="s">
        <v>408</v>
      </c>
      <c r="H74" s="24" t="s">
        <v>452</v>
      </c>
      <c r="I74" s="23" t="s">
        <v>18</v>
      </c>
      <c r="J74" s="25"/>
      <c r="K74" s="24"/>
    </row>
    <row r="75" ht="63.75" hidden="1" customHeight="1">
      <c r="A75" s="23" t="s">
        <v>453</v>
      </c>
      <c r="B75" s="23" t="s">
        <v>68</v>
      </c>
      <c r="C75" s="24" t="s">
        <v>454</v>
      </c>
      <c r="D75" s="23" t="s">
        <v>219</v>
      </c>
      <c r="E75" s="23" t="s">
        <v>29</v>
      </c>
      <c r="F75" s="23" t="s">
        <v>407</v>
      </c>
      <c r="G75" s="24" t="s">
        <v>408</v>
      </c>
      <c r="H75" s="24" t="s">
        <v>455</v>
      </c>
      <c r="I75" s="23" t="s">
        <v>14</v>
      </c>
      <c r="J75" s="25"/>
      <c r="K75" s="24"/>
    </row>
    <row r="76" ht="63.75" hidden="1" customHeight="1">
      <c r="A76" s="23" t="s">
        <v>456</v>
      </c>
      <c r="B76" s="23" t="s">
        <v>68</v>
      </c>
      <c r="C76" s="24" t="s">
        <v>457</v>
      </c>
      <c r="D76" s="23" t="s">
        <v>370</v>
      </c>
      <c r="E76" s="23" t="s">
        <v>29</v>
      </c>
      <c r="F76" s="23" t="s">
        <v>407</v>
      </c>
      <c r="G76" s="24" t="s">
        <v>408</v>
      </c>
      <c r="H76" s="24" t="s">
        <v>458</v>
      </c>
      <c r="I76" s="23" t="s">
        <v>14</v>
      </c>
      <c r="J76" s="25"/>
      <c r="K76" s="24"/>
    </row>
    <row r="77" ht="63.75" hidden="1" customHeight="1">
      <c r="A77" s="23" t="s">
        <v>459</v>
      </c>
      <c r="B77" s="23" t="s">
        <v>68</v>
      </c>
      <c r="C77" s="24" t="s">
        <v>460</v>
      </c>
      <c r="D77" s="23" t="s">
        <v>370</v>
      </c>
      <c r="E77" s="23" t="s">
        <v>29</v>
      </c>
      <c r="F77" s="23" t="s">
        <v>407</v>
      </c>
      <c r="G77" s="24" t="s">
        <v>408</v>
      </c>
      <c r="H77" s="24" t="s">
        <v>461</v>
      </c>
      <c r="I77" s="23" t="s">
        <v>14</v>
      </c>
      <c r="J77" s="25"/>
      <c r="K77" s="24"/>
    </row>
    <row r="78" ht="63.75" hidden="1" customHeight="1">
      <c r="A78" s="23" t="s">
        <v>462</v>
      </c>
      <c r="B78" s="23" t="s">
        <v>68</v>
      </c>
      <c r="C78" s="24" t="s">
        <v>463</v>
      </c>
      <c r="D78" s="23" t="s">
        <v>370</v>
      </c>
      <c r="E78" s="23" t="s">
        <v>29</v>
      </c>
      <c r="F78" s="23" t="s">
        <v>407</v>
      </c>
      <c r="G78" s="24" t="s">
        <v>408</v>
      </c>
      <c r="H78" s="24" t="s">
        <v>464</v>
      </c>
      <c r="I78" s="23" t="s">
        <v>14</v>
      </c>
      <c r="J78" s="25"/>
      <c r="K78" s="24"/>
    </row>
    <row r="79" ht="63.75" customHeight="1">
      <c r="A79" s="23" t="s">
        <v>465</v>
      </c>
      <c r="B79" s="23" t="s">
        <v>68</v>
      </c>
      <c r="C79" s="24" t="s">
        <v>466</v>
      </c>
      <c r="D79" s="23" t="s">
        <v>348</v>
      </c>
      <c r="E79" s="23" t="s">
        <v>27</v>
      </c>
      <c r="F79" s="23" t="s">
        <v>407</v>
      </c>
      <c r="G79" s="24" t="s">
        <v>408</v>
      </c>
      <c r="H79" s="24" t="s">
        <v>467</v>
      </c>
      <c r="I79" s="23" t="s">
        <v>18</v>
      </c>
      <c r="J79" s="25"/>
      <c r="K79" s="24"/>
    </row>
    <row r="80" ht="63.75" hidden="1" customHeight="1">
      <c r="A80" s="23" t="s">
        <v>468</v>
      </c>
      <c r="B80" s="23" t="s">
        <v>68</v>
      </c>
      <c r="C80" s="24" t="s">
        <v>469</v>
      </c>
      <c r="D80" s="23" t="s">
        <v>470</v>
      </c>
      <c r="E80" s="23" t="s">
        <v>29</v>
      </c>
      <c r="F80" s="23" t="s">
        <v>407</v>
      </c>
      <c r="G80" s="24" t="s">
        <v>408</v>
      </c>
      <c r="H80" s="24" t="s">
        <v>471</v>
      </c>
      <c r="I80" s="23" t="s">
        <v>14</v>
      </c>
      <c r="J80" s="25"/>
      <c r="K80" s="24"/>
    </row>
    <row r="81" ht="63.75" hidden="1" customHeight="1">
      <c r="A81" s="23" t="s">
        <v>472</v>
      </c>
      <c r="B81" s="23" t="s">
        <v>68</v>
      </c>
      <c r="C81" s="24" t="s">
        <v>473</v>
      </c>
      <c r="D81" s="23" t="s">
        <v>215</v>
      </c>
      <c r="E81" s="23" t="s">
        <v>33</v>
      </c>
      <c r="F81" s="23" t="s">
        <v>407</v>
      </c>
      <c r="G81" s="24" t="s">
        <v>408</v>
      </c>
      <c r="H81" s="24" t="s">
        <v>474</v>
      </c>
      <c r="I81" s="23" t="s">
        <v>14</v>
      </c>
      <c r="J81" s="25"/>
      <c r="K81" s="24"/>
    </row>
    <row r="82" ht="63.75" customHeight="1">
      <c r="A82" s="23" t="s">
        <v>475</v>
      </c>
      <c r="B82" s="23" t="s">
        <v>68</v>
      </c>
      <c r="C82" s="24" t="s">
        <v>476</v>
      </c>
      <c r="D82" s="23" t="s">
        <v>348</v>
      </c>
      <c r="E82" s="23" t="s">
        <v>27</v>
      </c>
      <c r="F82" s="23" t="s">
        <v>407</v>
      </c>
      <c r="G82" s="24" t="s">
        <v>408</v>
      </c>
      <c r="H82" s="24" t="s">
        <v>477</v>
      </c>
      <c r="I82" s="23" t="s">
        <v>18</v>
      </c>
      <c r="J82" s="25"/>
      <c r="K82" s="24"/>
    </row>
    <row r="83" ht="63.75" hidden="1" customHeight="1">
      <c r="A83" s="23" t="s">
        <v>478</v>
      </c>
      <c r="B83" s="23" t="s">
        <v>68</v>
      </c>
      <c r="C83" s="24" t="s">
        <v>479</v>
      </c>
      <c r="D83" s="23" t="s">
        <v>348</v>
      </c>
      <c r="E83" s="23" t="s">
        <v>33</v>
      </c>
      <c r="F83" s="23" t="s">
        <v>407</v>
      </c>
      <c r="G83" s="24" t="s">
        <v>408</v>
      </c>
      <c r="H83" s="24" t="s">
        <v>480</v>
      </c>
      <c r="I83" s="23" t="s">
        <v>14</v>
      </c>
      <c r="J83" s="25"/>
      <c r="K83" s="24"/>
    </row>
    <row r="84" ht="63.75" customHeight="1">
      <c r="A84" s="23" t="s">
        <v>481</v>
      </c>
      <c r="B84" s="23" t="s">
        <v>69</v>
      </c>
      <c r="C84" s="24" t="s">
        <v>482</v>
      </c>
      <c r="D84" s="23" t="s">
        <v>348</v>
      </c>
      <c r="E84" s="23" t="s">
        <v>27</v>
      </c>
      <c r="F84" s="23" t="s">
        <v>483</v>
      </c>
      <c r="G84" s="24" t="s">
        <v>484</v>
      </c>
      <c r="H84" s="24" t="s">
        <v>485</v>
      </c>
      <c r="I84" s="23" t="s">
        <v>18</v>
      </c>
      <c r="J84" s="25"/>
      <c r="K84" s="24"/>
    </row>
    <row r="85" ht="63.75" customHeight="1">
      <c r="A85" s="23" t="s">
        <v>486</v>
      </c>
      <c r="B85" s="23" t="s">
        <v>69</v>
      </c>
      <c r="C85" s="24" t="s">
        <v>487</v>
      </c>
      <c r="D85" s="23" t="s">
        <v>348</v>
      </c>
      <c r="E85" s="23" t="s">
        <v>27</v>
      </c>
      <c r="F85" s="23" t="s">
        <v>483</v>
      </c>
      <c r="G85" s="24" t="s">
        <v>488</v>
      </c>
      <c r="H85" s="24" t="s">
        <v>489</v>
      </c>
      <c r="I85" s="23" t="s">
        <v>18</v>
      </c>
      <c r="J85" s="25"/>
      <c r="K85" s="24"/>
    </row>
    <row r="86" ht="63.75" hidden="1" customHeight="1">
      <c r="A86" s="23" t="s">
        <v>490</v>
      </c>
      <c r="B86" s="23" t="s">
        <v>69</v>
      </c>
      <c r="C86" s="24" t="s">
        <v>491</v>
      </c>
      <c r="D86" s="23" t="s">
        <v>219</v>
      </c>
      <c r="E86" s="23" t="s">
        <v>29</v>
      </c>
      <c r="F86" s="23" t="s">
        <v>483</v>
      </c>
      <c r="G86" s="24" t="s">
        <v>192</v>
      </c>
      <c r="H86" s="24" t="s">
        <v>492</v>
      </c>
      <c r="I86" s="23" t="s">
        <v>14</v>
      </c>
      <c r="J86" s="25"/>
      <c r="K86" s="24"/>
    </row>
    <row r="87" ht="63.75" hidden="1" customHeight="1">
      <c r="A87" s="23" t="s">
        <v>493</v>
      </c>
      <c r="B87" s="23" t="s">
        <v>69</v>
      </c>
      <c r="C87" s="24" t="s">
        <v>494</v>
      </c>
      <c r="D87" s="23" t="s">
        <v>261</v>
      </c>
      <c r="E87" s="23" t="s">
        <v>31</v>
      </c>
      <c r="F87" s="23" t="s">
        <v>483</v>
      </c>
      <c r="G87" s="24" t="s">
        <v>192</v>
      </c>
      <c r="H87" s="24" t="s">
        <v>495</v>
      </c>
      <c r="I87" s="23" t="s">
        <v>14</v>
      </c>
      <c r="J87" s="25"/>
      <c r="K87" s="24"/>
    </row>
    <row r="88" ht="63.75" hidden="1" customHeight="1">
      <c r="A88" s="23" t="s">
        <v>496</v>
      </c>
      <c r="B88" s="23" t="s">
        <v>69</v>
      </c>
      <c r="C88" s="24" t="s">
        <v>497</v>
      </c>
      <c r="D88" s="23" t="s">
        <v>348</v>
      </c>
      <c r="E88" s="23" t="s">
        <v>29</v>
      </c>
      <c r="F88" s="23" t="s">
        <v>483</v>
      </c>
      <c r="G88" s="24" t="s">
        <v>192</v>
      </c>
      <c r="H88" s="24" t="s">
        <v>498</v>
      </c>
      <c r="I88" s="23" t="s">
        <v>14</v>
      </c>
      <c r="J88" s="25"/>
      <c r="K88" s="24"/>
    </row>
    <row r="89" ht="63.75" hidden="1" customHeight="1">
      <c r="A89" s="23" t="s">
        <v>499</v>
      </c>
      <c r="B89" s="23" t="s">
        <v>69</v>
      </c>
      <c r="C89" s="24" t="s">
        <v>500</v>
      </c>
      <c r="D89" s="23" t="s">
        <v>219</v>
      </c>
      <c r="E89" s="23" t="s">
        <v>29</v>
      </c>
      <c r="F89" s="23" t="s">
        <v>483</v>
      </c>
      <c r="G89" s="24" t="s">
        <v>192</v>
      </c>
      <c r="H89" s="24" t="s">
        <v>501</v>
      </c>
      <c r="I89" s="23" t="s">
        <v>14</v>
      </c>
      <c r="J89" s="25"/>
      <c r="K89" s="24"/>
    </row>
    <row r="90" ht="63.75" hidden="1" customHeight="1">
      <c r="A90" s="23" t="s">
        <v>502</v>
      </c>
      <c r="B90" s="23" t="s">
        <v>69</v>
      </c>
      <c r="C90" s="24" t="s">
        <v>503</v>
      </c>
      <c r="D90" s="23" t="s">
        <v>261</v>
      </c>
      <c r="E90" s="23" t="s">
        <v>31</v>
      </c>
      <c r="F90" s="23" t="s">
        <v>483</v>
      </c>
      <c r="G90" s="24" t="s">
        <v>192</v>
      </c>
      <c r="H90" s="24" t="s">
        <v>504</v>
      </c>
      <c r="I90" s="23" t="s">
        <v>14</v>
      </c>
      <c r="J90" s="25"/>
      <c r="K90" s="24"/>
    </row>
    <row r="91" ht="63.75" hidden="1" customHeight="1">
      <c r="A91" s="23" t="s">
        <v>505</v>
      </c>
      <c r="B91" s="23" t="s">
        <v>69</v>
      </c>
      <c r="C91" s="24" t="s">
        <v>506</v>
      </c>
      <c r="D91" s="23" t="s">
        <v>348</v>
      </c>
      <c r="E91" s="23" t="s">
        <v>29</v>
      </c>
      <c r="F91" s="23" t="s">
        <v>483</v>
      </c>
      <c r="G91" s="24" t="s">
        <v>507</v>
      </c>
      <c r="H91" s="24" t="s">
        <v>508</v>
      </c>
      <c r="I91" s="23" t="s">
        <v>14</v>
      </c>
      <c r="J91" s="25"/>
      <c r="K91" s="24"/>
    </row>
    <row r="92" ht="63.75" hidden="1" customHeight="1">
      <c r="A92" s="23" t="s">
        <v>509</v>
      </c>
      <c r="B92" s="23" t="s">
        <v>69</v>
      </c>
      <c r="C92" s="24" t="s">
        <v>510</v>
      </c>
      <c r="D92" s="23" t="s">
        <v>348</v>
      </c>
      <c r="E92" s="23" t="s">
        <v>29</v>
      </c>
      <c r="F92" s="23" t="s">
        <v>483</v>
      </c>
      <c r="G92" s="24" t="s">
        <v>192</v>
      </c>
      <c r="H92" s="24" t="s">
        <v>511</v>
      </c>
      <c r="I92" s="23" t="s">
        <v>14</v>
      </c>
      <c r="J92" s="25"/>
      <c r="K92" s="24"/>
    </row>
    <row r="93" ht="63.75" hidden="1" customHeight="1">
      <c r="A93" s="23" t="s">
        <v>512</v>
      </c>
      <c r="B93" s="23" t="s">
        <v>69</v>
      </c>
      <c r="C93" s="24" t="s">
        <v>513</v>
      </c>
      <c r="D93" s="23" t="s">
        <v>348</v>
      </c>
      <c r="E93" s="23" t="s">
        <v>29</v>
      </c>
      <c r="F93" s="23" t="s">
        <v>483</v>
      </c>
      <c r="G93" s="24" t="s">
        <v>514</v>
      </c>
      <c r="H93" s="24" t="s">
        <v>515</v>
      </c>
      <c r="I93" s="23" t="s">
        <v>14</v>
      </c>
      <c r="J93" s="25"/>
      <c r="K93" s="24"/>
    </row>
    <row r="94" ht="63.75" hidden="1" customHeight="1">
      <c r="A94" s="23" t="s">
        <v>516</v>
      </c>
      <c r="B94" s="23" t="s">
        <v>69</v>
      </c>
      <c r="C94" s="24" t="s">
        <v>517</v>
      </c>
      <c r="D94" s="23" t="s">
        <v>348</v>
      </c>
      <c r="E94" s="23" t="s">
        <v>29</v>
      </c>
      <c r="F94" s="23" t="s">
        <v>483</v>
      </c>
      <c r="G94" s="24" t="s">
        <v>192</v>
      </c>
      <c r="H94" s="24" t="s">
        <v>518</v>
      </c>
      <c r="I94" s="23" t="s">
        <v>14</v>
      </c>
      <c r="J94" s="25"/>
      <c r="K94" s="24"/>
    </row>
    <row r="95" ht="63.75" hidden="1" customHeight="1">
      <c r="A95" s="23" t="s">
        <v>519</v>
      </c>
      <c r="B95" s="23" t="s">
        <v>69</v>
      </c>
      <c r="C95" s="24" t="s">
        <v>520</v>
      </c>
      <c r="D95" s="23" t="s">
        <v>261</v>
      </c>
      <c r="E95" s="23" t="s">
        <v>31</v>
      </c>
      <c r="F95" s="23" t="s">
        <v>483</v>
      </c>
      <c r="G95" s="24" t="s">
        <v>192</v>
      </c>
      <c r="H95" s="24" t="s">
        <v>521</v>
      </c>
      <c r="I95" s="23" t="s">
        <v>14</v>
      </c>
      <c r="J95" s="25"/>
      <c r="K95" s="24"/>
    </row>
    <row r="96" ht="63.75" hidden="1" customHeight="1">
      <c r="A96" s="23" t="s">
        <v>522</v>
      </c>
      <c r="B96" s="23" t="s">
        <v>69</v>
      </c>
      <c r="C96" s="24" t="s">
        <v>523</v>
      </c>
      <c r="D96" s="23" t="s">
        <v>219</v>
      </c>
      <c r="E96" s="23" t="s">
        <v>29</v>
      </c>
      <c r="F96" s="23" t="s">
        <v>483</v>
      </c>
      <c r="G96" s="24" t="s">
        <v>524</v>
      </c>
      <c r="H96" s="24" t="s">
        <v>525</v>
      </c>
      <c r="I96" s="23" t="s">
        <v>14</v>
      </c>
      <c r="J96" s="25"/>
      <c r="K96" s="24"/>
    </row>
    <row r="97" ht="63.75" hidden="1" customHeight="1">
      <c r="A97" s="23" t="s">
        <v>526</v>
      </c>
      <c r="B97" s="23" t="s">
        <v>69</v>
      </c>
      <c r="C97" s="24" t="s">
        <v>527</v>
      </c>
      <c r="D97" s="23" t="s">
        <v>261</v>
      </c>
      <c r="E97" s="23" t="s">
        <v>31</v>
      </c>
      <c r="F97" s="23" t="s">
        <v>483</v>
      </c>
      <c r="G97" s="24" t="s">
        <v>528</v>
      </c>
      <c r="H97" s="24" t="s">
        <v>529</v>
      </c>
      <c r="I97" s="23" t="s">
        <v>14</v>
      </c>
      <c r="J97" s="25"/>
      <c r="K97" s="24"/>
    </row>
    <row r="98" ht="63.75" hidden="1" customHeight="1">
      <c r="A98" s="23" t="s">
        <v>530</v>
      </c>
      <c r="B98" s="23" t="s">
        <v>69</v>
      </c>
      <c r="C98" s="24" t="s">
        <v>531</v>
      </c>
      <c r="D98" s="23" t="s">
        <v>348</v>
      </c>
      <c r="E98" s="23" t="s">
        <v>33</v>
      </c>
      <c r="F98" s="23" t="s">
        <v>483</v>
      </c>
      <c r="G98" s="24" t="s">
        <v>532</v>
      </c>
      <c r="H98" s="24" t="s">
        <v>533</v>
      </c>
      <c r="I98" s="23" t="s">
        <v>14</v>
      </c>
      <c r="J98" s="25"/>
      <c r="K98" s="24"/>
    </row>
    <row r="99" ht="63.75" hidden="1" customHeight="1">
      <c r="A99" s="23" t="s">
        <v>534</v>
      </c>
      <c r="B99" s="23" t="s">
        <v>69</v>
      </c>
      <c r="C99" s="24" t="s">
        <v>535</v>
      </c>
      <c r="D99" s="23" t="s">
        <v>207</v>
      </c>
      <c r="E99" s="23" t="s">
        <v>31</v>
      </c>
      <c r="F99" s="23" t="s">
        <v>483</v>
      </c>
      <c r="G99" s="24" t="s">
        <v>192</v>
      </c>
      <c r="H99" s="24" t="s">
        <v>536</v>
      </c>
      <c r="I99" s="23" t="s">
        <v>14</v>
      </c>
      <c r="J99" s="25"/>
      <c r="K99" s="24"/>
    </row>
    <row r="100" ht="63.75" customHeight="1">
      <c r="A100" s="23" t="s">
        <v>537</v>
      </c>
      <c r="B100" s="23" t="s">
        <v>70</v>
      </c>
      <c r="C100" s="24" t="s">
        <v>538</v>
      </c>
      <c r="D100" s="23" t="s">
        <v>539</v>
      </c>
      <c r="E100" s="23" t="s">
        <v>27</v>
      </c>
      <c r="F100" s="23" t="s">
        <v>540</v>
      </c>
      <c r="G100" s="24" t="s">
        <v>192</v>
      </c>
      <c r="H100" s="24" t="s">
        <v>541</v>
      </c>
      <c r="I100" s="23" t="s">
        <v>18</v>
      </c>
      <c r="J100" s="25"/>
      <c r="K100" s="24"/>
    </row>
    <row r="101" ht="63.75" customHeight="1">
      <c r="A101" s="23" t="s">
        <v>542</v>
      </c>
      <c r="B101" s="23" t="s">
        <v>70</v>
      </c>
      <c r="C101" s="24" t="s">
        <v>543</v>
      </c>
      <c r="D101" s="23" t="s">
        <v>539</v>
      </c>
      <c r="E101" s="23" t="s">
        <v>27</v>
      </c>
      <c r="F101" s="23" t="s">
        <v>540</v>
      </c>
      <c r="G101" s="24" t="s">
        <v>544</v>
      </c>
      <c r="H101" s="24" t="s">
        <v>545</v>
      </c>
      <c r="I101" s="23" t="s">
        <v>18</v>
      </c>
      <c r="J101" s="25"/>
      <c r="K101" s="24"/>
    </row>
    <row r="102" ht="63.75" customHeight="1">
      <c r="A102" s="23" t="s">
        <v>546</v>
      </c>
      <c r="B102" s="23" t="s">
        <v>70</v>
      </c>
      <c r="C102" s="24" t="s">
        <v>547</v>
      </c>
      <c r="D102" s="23" t="s">
        <v>539</v>
      </c>
      <c r="E102" s="23" t="s">
        <v>27</v>
      </c>
      <c r="F102" s="23" t="s">
        <v>540</v>
      </c>
      <c r="G102" s="24" t="s">
        <v>548</v>
      </c>
      <c r="H102" s="24" t="s">
        <v>549</v>
      </c>
      <c r="I102" s="23" t="s">
        <v>18</v>
      </c>
      <c r="J102" s="25"/>
      <c r="K102" s="24"/>
    </row>
    <row r="103" ht="63.75" customHeight="1">
      <c r="A103" s="23" t="s">
        <v>550</v>
      </c>
      <c r="B103" s="23" t="s">
        <v>70</v>
      </c>
      <c r="C103" s="24" t="s">
        <v>551</v>
      </c>
      <c r="D103" s="23" t="s">
        <v>539</v>
      </c>
      <c r="E103" s="23" t="s">
        <v>27</v>
      </c>
      <c r="F103" s="23" t="s">
        <v>540</v>
      </c>
      <c r="G103" s="24" t="s">
        <v>552</v>
      </c>
      <c r="H103" s="24" t="s">
        <v>553</v>
      </c>
      <c r="I103" s="23" t="s">
        <v>18</v>
      </c>
      <c r="J103" s="25"/>
      <c r="K103" s="24"/>
    </row>
    <row r="104" ht="63.75" customHeight="1">
      <c r="A104" s="23" t="s">
        <v>554</v>
      </c>
      <c r="B104" s="23" t="s">
        <v>70</v>
      </c>
      <c r="C104" s="24" t="s">
        <v>555</v>
      </c>
      <c r="D104" s="23" t="s">
        <v>539</v>
      </c>
      <c r="E104" s="23" t="s">
        <v>27</v>
      </c>
      <c r="F104" s="23" t="s">
        <v>540</v>
      </c>
      <c r="G104" s="24" t="s">
        <v>556</v>
      </c>
      <c r="H104" s="24" t="s">
        <v>557</v>
      </c>
      <c r="I104" s="23" t="s">
        <v>18</v>
      </c>
      <c r="J104" s="25"/>
      <c r="K104" s="24"/>
    </row>
    <row r="105" ht="63.75" customHeight="1">
      <c r="A105" s="23" t="s">
        <v>558</v>
      </c>
      <c r="B105" s="23" t="s">
        <v>70</v>
      </c>
      <c r="C105" s="24" t="s">
        <v>559</v>
      </c>
      <c r="D105" s="23" t="s">
        <v>539</v>
      </c>
      <c r="E105" s="23" t="s">
        <v>27</v>
      </c>
      <c r="F105" s="23" t="s">
        <v>540</v>
      </c>
      <c r="G105" s="24" t="s">
        <v>560</v>
      </c>
      <c r="H105" s="24" t="s">
        <v>561</v>
      </c>
      <c r="I105" s="23" t="s">
        <v>18</v>
      </c>
      <c r="J105" s="25"/>
      <c r="K105" s="24"/>
    </row>
    <row r="106" ht="63.75" hidden="1" customHeight="1">
      <c r="A106" s="23" t="s">
        <v>562</v>
      </c>
      <c r="B106" s="23" t="s">
        <v>70</v>
      </c>
      <c r="C106" s="24" t="s">
        <v>563</v>
      </c>
      <c r="D106" s="23" t="s">
        <v>539</v>
      </c>
      <c r="E106" s="23" t="s">
        <v>29</v>
      </c>
      <c r="F106" s="23" t="s">
        <v>540</v>
      </c>
      <c r="G106" s="24" t="s">
        <v>192</v>
      </c>
      <c r="H106" s="24" t="s">
        <v>564</v>
      </c>
      <c r="I106" s="23" t="s">
        <v>14</v>
      </c>
      <c r="J106" s="25"/>
      <c r="K106" s="24"/>
    </row>
    <row r="107" ht="63.75" hidden="1" customHeight="1">
      <c r="A107" s="23" t="s">
        <v>565</v>
      </c>
      <c r="B107" s="23" t="s">
        <v>70</v>
      </c>
      <c r="C107" s="24" t="s">
        <v>566</v>
      </c>
      <c r="D107" s="23" t="s">
        <v>539</v>
      </c>
      <c r="E107" s="23" t="s">
        <v>29</v>
      </c>
      <c r="F107" s="23" t="s">
        <v>540</v>
      </c>
      <c r="G107" s="24" t="s">
        <v>192</v>
      </c>
      <c r="H107" s="24" t="s">
        <v>567</v>
      </c>
      <c r="I107" s="23" t="s">
        <v>14</v>
      </c>
      <c r="J107" s="25"/>
      <c r="K107" s="24"/>
    </row>
    <row r="108" ht="63.75" hidden="1" customHeight="1">
      <c r="A108" s="23" t="s">
        <v>568</v>
      </c>
      <c r="B108" s="23" t="s">
        <v>70</v>
      </c>
      <c r="C108" s="24" t="s">
        <v>569</v>
      </c>
      <c r="D108" s="23" t="s">
        <v>539</v>
      </c>
      <c r="E108" s="23" t="s">
        <v>29</v>
      </c>
      <c r="F108" s="23" t="s">
        <v>540</v>
      </c>
      <c r="G108" s="24" t="s">
        <v>192</v>
      </c>
      <c r="H108" s="24" t="s">
        <v>570</v>
      </c>
      <c r="I108" s="23" t="s">
        <v>14</v>
      </c>
      <c r="J108" s="25"/>
      <c r="K108" s="24"/>
    </row>
    <row r="109" ht="63.75" hidden="1" customHeight="1">
      <c r="A109" s="23" t="s">
        <v>571</v>
      </c>
      <c r="B109" s="23" t="s">
        <v>70</v>
      </c>
      <c r="C109" s="24" t="s">
        <v>572</v>
      </c>
      <c r="D109" s="23" t="s">
        <v>539</v>
      </c>
      <c r="E109" s="23" t="s">
        <v>29</v>
      </c>
      <c r="F109" s="23" t="s">
        <v>540</v>
      </c>
      <c r="G109" s="24" t="s">
        <v>192</v>
      </c>
      <c r="H109" s="24" t="s">
        <v>573</v>
      </c>
      <c r="I109" s="23" t="s">
        <v>14</v>
      </c>
      <c r="J109" s="25"/>
      <c r="K109" s="24"/>
    </row>
    <row r="110" ht="63.75" hidden="1" customHeight="1">
      <c r="A110" s="23" t="s">
        <v>574</v>
      </c>
      <c r="B110" s="23" t="s">
        <v>70</v>
      </c>
      <c r="C110" s="24" t="s">
        <v>575</v>
      </c>
      <c r="D110" s="23" t="s">
        <v>539</v>
      </c>
      <c r="E110" s="23" t="s">
        <v>29</v>
      </c>
      <c r="F110" s="23" t="s">
        <v>540</v>
      </c>
      <c r="G110" s="24" t="s">
        <v>192</v>
      </c>
      <c r="H110" s="24" t="s">
        <v>576</v>
      </c>
      <c r="I110" s="23" t="s">
        <v>14</v>
      </c>
      <c r="J110" s="25"/>
      <c r="K110" s="24"/>
    </row>
    <row r="111" ht="63.75" hidden="1" customHeight="1">
      <c r="A111" s="23" t="s">
        <v>577</v>
      </c>
      <c r="B111" s="23" t="s">
        <v>70</v>
      </c>
      <c r="C111" s="24" t="s">
        <v>578</v>
      </c>
      <c r="D111" s="23" t="s">
        <v>539</v>
      </c>
      <c r="E111" s="23" t="s">
        <v>29</v>
      </c>
      <c r="F111" s="23" t="s">
        <v>540</v>
      </c>
      <c r="G111" s="24" t="s">
        <v>192</v>
      </c>
      <c r="H111" s="24" t="s">
        <v>579</v>
      </c>
      <c r="I111" s="23" t="s">
        <v>14</v>
      </c>
      <c r="J111" s="25"/>
      <c r="K111" s="24" t="s">
        <v>580</v>
      </c>
    </row>
    <row r="112" ht="63.75" hidden="1" customHeight="1">
      <c r="A112" s="23" t="s">
        <v>581</v>
      </c>
      <c r="B112" s="23" t="s">
        <v>70</v>
      </c>
      <c r="C112" s="24" t="s">
        <v>582</v>
      </c>
      <c r="D112" s="23" t="s">
        <v>539</v>
      </c>
      <c r="E112" s="23" t="s">
        <v>29</v>
      </c>
      <c r="F112" s="23" t="s">
        <v>540</v>
      </c>
      <c r="G112" s="24" t="s">
        <v>583</v>
      </c>
      <c r="H112" s="24" t="s">
        <v>584</v>
      </c>
      <c r="I112" s="23" t="s">
        <v>14</v>
      </c>
      <c r="J112" s="25"/>
      <c r="K112" s="24"/>
    </row>
    <row r="113" ht="63.75" hidden="1" customHeight="1">
      <c r="A113" s="23" t="s">
        <v>585</v>
      </c>
      <c r="B113" s="23" t="s">
        <v>70</v>
      </c>
      <c r="C113" s="24" t="s">
        <v>586</v>
      </c>
      <c r="D113" s="23" t="s">
        <v>539</v>
      </c>
      <c r="E113" s="23" t="s">
        <v>31</v>
      </c>
      <c r="F113" s="23" t="s">
        <v>540</v>
      </c>
      <c r="G113" s="24" t="s">
        <v>192</v>
      </c>
      <c r="H113" s="24" t="s">
        <v>587</v>
      </c>
      <c r="I113" s="23" t="s">
        <v>14</v>
      </c>
      <c r="J113" s="25"/>
      <c r="K113" s="24"/>
    </row>
    <row r="114" ht="63.75" hidden="1" customHeight="1">
      <c r="A114" s="23" t="s">
        <v>588</v>
      </c>
      <c r="B114" s="23" t="s">
        <v>70</v>
      </c>
      <c r="C114" s="24" t="s">
        <v>589</v>
      </c>
      <c r="D114" s="23" t="s">
        <v>539</v>
      </c>
      <c r="E114" s="23" t="s">
        <v>29</v>
      </c>
      <c r="F114" s="23" t="s">
        <v>540</v>
      </c>
      <c r="G114" s="24" t="s">
        <v>590</v>
      </c>
      <c r="H114" s="24" t="s">
        <v>591</v>
      </c>
      <c r="I114" s="23" t="s">
        <v>14</v>
      </c>
      <c r="J114" s="25"/>
      <c r="K114" s="24"/>
    </row>
    <row r="115" ht="63.75" hidden="1" customHeight="1">
      <c r="A115" s="23" t="s">
        <v>592</v>
      </c>
      <c r="B115" s="23" t="s">
        <v>70</v>
      </c>
      <c r="C115" s="24" t="s">
        <v>593</v>
      </c>
      <c r="D115" s="23" t="s">
        <v>539</v>
      </c>
      <c r="E115" s="23" t="s">
        <v>31</v>
      </c>
      <c r="F115" s="23" t="s">
        <v>540</v>
      </c>
      <c r="G115" s="24" t="s">
        <v>594</v>
      </c>
      <c r="H115" s="24" t="s">
        <v>595</v>
      </c>
      <c r="I115" s="23" t="s">
        <v>14</v>
      </c>
      <c r="J115" s="25"/>
      <c r="K115" s="24"/>
    </row>
    <row r="116" ht="63.75" hidden="1" customHeight="1">
      <c r="A116" s="23" t="s">
        <v>596</v>
      </c>
      <c r="B116" s="23" t="s">
        <v>70</v>
      </c>
      <c r="C116" s="24" t="s">
        <v>597</v>
      </c>
      <c r="D116" s="23" t="s">
        <v>539</v>
      </c>
      <c r="E116" s="23" t="s">
        <v>31</v>
      </c>
      <c r="F116" s="23" t="s">
        <v>540</v>
      </c>
      <c r="G116" s="24" t="s">
        <v>192</v>
      </c>
      <c r="H116" s="24" t="s">
        <v>598</v>
      </c>
      <c r="I116" s="23" t="s">
        <v>14</v>
      </c>
      <c r="J116" s="25"/>
      <c r="K116" s="24"/>
    </row>
    <row r="117" ht="63.75" hidden="1" customHeight="1">
      <c r="A117" s="23" t="s">
        <v>599</v>
      </c>
      <c r="B117" s="23" t="s">
        <v>70</v>
      </c>
      <c r="C117" s="24" t="s">
        <v>600</v>
      </c>
      <c r="D117" s="23" t="s">
        <v>539</v>
      </c>
      <c r="E117" s="23" t="s">
        <v>31</v>
      </c>
      <c r="F117" s="23" t="s">
        <v>540</v>
      </c>
      <c r="G117" s="24" t="s">
        <v>601</v>
      </c>
      <c r="H117" s="24" t="s">
        <v>602</v>
      </c>
      <c r="I117" s="23" t="s">
        <v>14</v>
      </c>
      <c r="J117" s="25"/>
      <c r="K117" s="24"/>
    </row>
    <row r="118" ht="63.75" customHeight="1">
      <c r="A118" s="23" t="s">
        <v>603</v>
      </c>
      <c r="B118" s="23" t="s">
        <v>71</v>
      </c>
      <c r="C118" s="24" t="s">
        <v>604</v>
      </c>
      <c r="D118" s="23" t="s">
        <v>402</v>
      </c>
      <c r="E118" s="23" t="s">
        <v>27</v>
      </c>
      <c r="F118" s="23" t="s">
        <v>605</v>
      </c>
      <c r="G118" s="24" t="s">
        <v>192</v>
      </c>
      <c r="H118" s="24" t="s">
        <v>606</v>
      </c>
      <c r="I118" s="23" t="s">
        <v>18</v>
      </c>
      <c r="J118" s="25"/>
      <c r="K118" s="24" t="s">
        <v>607</v>
      </c>
    </row>
    <row r="119" ht="63.75" hidden="1" customHeight="1">
      <c r="A119" s="23" t="s">
        <v>608</v>
      </c>
      <c r="B119" s="23" t="s">
        <v>71</v>
      </c>
      <c r="C119" s="24" t="s">
        <v>609</v>
      </c>
      <c r="D119" s="23" t="s">
        <v>610</v>
      </c>
      <c r="E119" s="23" t="s">
        <v>29</v>
      </c>
      <c r="F119" s="23" t="s">
        <v>605</v>
      </c>
      <c r="G119" s="24" t="s">
        <v>192</v>
      </c>
      <c r="H119" s="24" t="s">
        <v>611</v>
      </c>
      <c r="I119" s="23" t="s">
        <v>14</v>
      </c>
      <c r="J119" s="25"/>
      <c r="K119" s="24" t="s">
        <v>607</v>
      </c>
    </row>
    <row r="120" ht="63.75" hidden="1" customHeight="1">
      <c r="A120" s="23" t="s">
        <v>612</v>
      </c>
      <c r="B120" s="23" t="s">
        <v>71</v>
      </c>
      <c r="C120" s="24" t="s">
        <v>613</v>
      </c>
      <c r="D120" s="23" t="s">
        <v>261</v>
      </c>
      <c r="E120" s="23" t="s">
        <v>31</v>
      </c>
      <c r="F120" s="23" t="s">
        <v>605</v>
      </c>
      <c r="G120" s="24" t="s">
        <v>192</v>
      </c>
      <c r="H120" s="24" t="s">
        <v>614</v>
      </c>
      <c r="I120" s="23" t="s">
        <v>14</v>
      </c>
      <c r="J120" s="25"/>
      <c r="K120" s="24" t="s">
        <v>607</v>
      </c>
    </row>
    <row r="121" ht="63.75" hidden="1" customHeight="1">
      <c r="A121" s="23" t="s">
        <v>615</v>
      </c>
      <c r="B121" s="23" t="s">
        <v>71</v>
      </c>
      <c r="C121" s="24" t="s">
        <v>616</v>
      </c>
      <c r="D121" s="23" t="s">
        <v>219</v>
      </c>
      <c r="E121" s="23" t="s">
        <v>29</v>
      </c>
      <c r="F121" s="23" t="s">
        <v>605</v>
      </c>
      <c r="G121" s="24" t="s">
        <v>192</v>
      </c>
      <c r="H121" s="24" t="s">
        <v>617</v>
      </c>
      <c r="I121" s="23" t="s">
        <v>14</v>
      </c>
      <c r="J121" s="25"/>
      <c r="K121" s="24" t="s">
        <v>607</v>
      </c>
    </row>
    <row r="122" ht="63.75" hidden="1" customHeight="1">
      <c r="A122" s="23" t="s">
        <v>618</v>
      </c>
      <c r="B122" s="23" t="s">
        <v>71</v>
      </c>
      <c r="C122" s="24" t="s">
        <v>619</v>
      </c>
      <c r="D122" s="23" t="s">
        <v>261</v>
      </c>
      <c r="E122" s="23" t="s">
        <v>31</v>
      </c>
      <c r="F122" s="23" t="s">
        <v>605</v>
      </c>
      <c r="G122" s="24" t="s">
        <v>192</v>
      </c>
      <c r="H122" s="24" t="s">
        <v>620</v>
      </c>
      <c r="I122" s="23" t="s">
        <v>14</v>
      </c>
      <c r="J122" s="25"/>
      <c r="K122" s="24" t="s">
        <v>607</v>
      </c>
    </row>
    <row r="123" ht="63.75" hidden="1" customHeight="1">
      <c r="A123" s="23" t="s">
        <v>621</v>
      </c>
      <c r="B123" s="23" t="s">
        <v>71</v>
      </c>
      <c r="C123" s="24" t="s">
        <v>622</v>
      </c>
      <c r="D123" s="23" t="s">
        <v>219</v>
      </c>
      <c r="E123" s="23" t="s">
        <v>29</v>
      </c>
      <c r="F123" s="23" t="s">
        <v>605</v>
      </c>
      <c r="G123" s="24" t="s">
        <v>192</v>
      </c>
      <c r="H123" s="24" t="s">
        <v>623</v>
      </c>
      <c r="I123" s="23" t="s">
        <v>14</v>
      </c>
      <c r="J123" s="25"/>
      <c r="K123" s="24" t="s">
        <v>607</v>
      </c>
    </row>
    <row r="124" ht="63.75" hidden="1" customHeight="1">
      <c r="A124" s="23" t="s">
        <v>624</v>
      </c>
      <c r="B124" s="23" t="s">
        <v>71</v>
      </c>
      <c r="C124" s="24" t="s">
        <v>625</v>
      </c>
      <c r="D124" s="23" t="s">
        <v>261</v>
      </c>
      <c r="E124" s="23" t="s">
        <v>31</v>
      </c>
      <c r="F124" s="23" t="s">
        <v>605</v>
      </c>
      <c r="G124" s="24" t="s">
        <v>192</v>
      </c>
      <c r="H124" s="24" t="s">
        <v>626</v>
      </c>
      <c r="I124" s="23" t="s">
        <v>14</v>
      </c>
      <c r="J124" s="25"/>
      <c r="K124" s="24" t="s">
        <v>607</v>
      </c>
    </row>
    <row r="125" ht="63.75" hidden="1" customHeight="1">
      <c r="A125" s="23" t="s">
        <v>627</v>
      </c>
      <c r="B125" s="23" t="s">
        <v>71</v>
      </c>
      <c r="C125" s="24" t="s">
        <v>628</v>
      </c>
      <c r="D125" s="23" t="s">
        <v>395</v>
      </c>
      <c r="E125" s="23" t="s">
        <v>31</v>
      </c>
      <c r="F125" s="23" t="s">
        <v>605</v>
      </c>
      <c r="G125" s="24" t="s">
        <v>192</v>
      </c>
      <c r="H125" s="24" t="s">
        <v>629</v>
      </c>
      <c r="I125" s="23" t="s">
        <v>14</v>
      </c>
      <c r="J125" s="25"/>
      <c r="K125" s="24" t="s">
        <v>607</v>
      </c>
    </row>
    <row r="126" ht="63.75" hidden="1" customHeight="1">
      <c r="A126" s="23" t="s">
        <v>630</v>
      </c>
      <c r="B126" s="23" t="s">
        <v>71</v>
      </c>
      <c r="C126" s="24" t="s">
        <v>631</v>
      </c>
      <c r="D126" s="23" t="s">
        <v>395</v>
      </c>
      <c r="E126" s="23" t="s">
        <v>33</v>
      </c>
      <c r="F126" s="23" t="s">
        <v>605</v>
      </c>
      <c r="G126" s="24" t="s">
        <v>192</v>
      </c>
      <c r="H126" s="24" t="s">
        <v>632</v>
      </c>
      <c r="I126" s="23" t="s">
        <v>14</v>
      </c>
      <c r="J126" s="25"/>
      <c r="K126" s="24" t="s">
        <v>607</v>
      </c>
    </row>
    <row r="127" ht="63.75" hidden="1" customHeight="1">
      <c r="A127" s="23" t="s">
        <v>633</v>
      </c>
      <c r="B127" s="23" t="s">
        <v>71</v>
      </c>
      <c r="C127" s="24" t="s">
        <v>634</v>
      </c>
      <c r="D127" s="23" t="s">
        <v>395</v>
      </c>
      <c r="E127" s="23" t="s">
        <v>33</v>
      </c>
      <c r="F127" s="23" t="s">
        <v>605</v>
      </c>
      <c r="G127" s="24" t="s">
        <v>192</v>
      </c>
      <c r="H127" s="24" t="s">
        <v>635</v>
      </c>
      <c r="I127" s="23" t="s">
        <v>14</v>
      </c>
      <c r="J127" s="25"/>
      <c r="K127" s="24" t="s">
        <v>607</v>
      </c>
    </row>
    <row r="128" ht="63.75" customHeight="1">
      <c r="A128" s="23" t="s">
        <v>636</v>
      </c>
      <c r="B128" s="23" t="s">
        <v>72</v>
      </c>
      <c r="C128" s="24" t="s">
        <v>637</v>
      </c>
      <c r="D128" s="23" t="s">
        <v>539</v>
      </c>
      <c r="E128" s="23" t="s">
        <v>27</v>
      </c>
      <c r="F128" s="23" t="s">
        <v>638</v>
      </c>
      <c r="G128" s="24" t="s">
        <v>192</v>
      </c>
      <c r="H128" s="24" t="s">
        <v>639</v>
      </c>
      <c r="I128" s="23" t="s">
        <v>18</v>
      </c>
      <c r="J128" s="25"/>
      <c r="K128" s="24" t="s">
        <v>640</v>
      </c>
    </row>
    <row r="129" ht="63.75" hidden="1" customHeight="1">
      <c r="A129" s="23" t="s">
        <v>641</v>
      </c>
      <c r="B129" s="23" t="s">
        <v>72</v>
      </c>
      <c r="C129" s="24" t="s">
        <v>642</v>
      </c>
      <c r="D129" s="23" t="s">
        <v>539</v>
      </c>
      <c r="E129" s="23" t="s">
        <v>29</v>
      </c>
      <c r="F129" s="23" t="s">
        <v>643</v>
      </c>
      <c r="G129" s="24" t="s">
        <v>192</v>
      </c>
      <c r="H129" s="24" t="s">
        <v>644</v>
      </c>
      <c r="I129" s="23" t="s">
        <v>14</v>
      </c>
      <c r="J129" s="25"/>
      <c r="K129" s="24"/>
    </row>
    <row r="130" ht="63.75" hidden="1" customHeight="1">
      <c r="A130" s="23" t="s">
        <v>645</v>
      </c>
      <c r="B130" s="23" t="s">
        <v>72</v>
      </c>
      <c r="C130" s="24" t="s">
        <v>646</v>
      </c>
      <c r="D130" s="23" t="s">
        <v>539</v>
      </c>
      <c r="E130" s="23" t="s">
        <v>33</v>
      </c>
      <c r="F130" s="23" t="s">
        <v>647</v>
      </c>
      <c r="G130" s="24" t="s">
        <v>192</v>
      </c>
      <c r="H130" s="24" t="s">
        <v>648</v>
      </c>
      <c r="I130" s="23" t="s">
        <v>14</v>
      </c>
      <c r="J130" s="25"/>
      <c r="K130" s="24" t="s">
        <v>649</v>
      </c>
    </row>
    <row r="131">
      <c r="A131" s="23" t="inlineStr">
        <is>
          <t xml:space="preserve">EN-019</t>
        </is>
      </c>
      <c r="B131" s="23" t="inlineStr">
        <is>
          <t xml:space="preserve">Environment</t>
        </is>
      </c>
      <c r="C131" s="24" t="inlineStr">
        <is>
          <t xml:space="preserve">Astra'Thalas - the scriptorium (Cold Open)</t>
        </is>
      </c>
      <c r="D131" s="23" t="inlineStr">
        <is>
          <t xml:space="preserve">Cold Open</t>
        </is>
      </c>
      <c r="E131" s="23" t="inlineStr">
        <is>
          <t xml:space="preserve">P1 - Vertical Slice</t>
        </is>
      </c>
      <c r="F131" s="23" t="inlineStr">
        <is>
          <t xml:space="preserve">32x32 tiles + props</t>
        </is>
      </c>
      <c r="G131" s="24" t="inlineStr">
        <is>
          <t xml:space="preserve">Floor, wall, window, desk, cold cup. Lit and unlit states for the Silence.</t>
        </is>
      </c>
      <c r="H131" s="24" t="inlineStr">
        <is>
          <t xml:space="preserve">HD pixel art top-down interior for a dark-fantasy RPG. The record scriptorium of an elven astral archive at night, directly below a festival balcony. Ranked scroll racks along the back wall, reading desks, a tall window showing the lit festival city beyond, an indigo lacquered locked cabinet. Cold, orderly, deserted - everyone has gone to the festival. Lit only by a reading lamp and the gold spill through the window. Muted Noctari indigo, grey stone, parchment, aged wood. 32x32 tile grid.</t>
        </is>
      </c>
      <c r="I131" s="23" t="inlineStr">
        <is>
          <t xml:space="preserve">Placeholder</t>
        </is>
      </c>
      <c r="J131" s="25"/>
      <c r="K131" s="24" t="inlineStr">
        <is>
          <t xml:space="preserve">NEW 2026-07-17. The room below the Cold Open stair. EN-017/018 were already claimed by the Starfall and Umbraveil map prompts, so this took the next free id. Currently a labelled placeholder in godot/art/placeholders/EN-019_*.png.</t>
        </is>
      </c>
    </row>
  </sheetData>
  <autoFilter ref="A1:K131">
    <filterColumn colId="4">
      <filters>
        <filter val="P1 - Vertical Slice"/>
      </filters>
    </filterColumn>
  </autoFilter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equal" rank="0" text="" id="{D52834FE-DF95-4610-99C0-1F236EE3FF61}">
            <xm:f>"Not Started"</xm:f>
            <x14:dxf>
              <fill>
                <patternFill patternType="solid">
                  <fgColor rgb="FFF2F2F2"/>
                  <bgColor rgb="FFF2F2F2"/>
                </patternFill>
              </fill>
            </x14:dxf>
          </x14:cfRule>
          <xm:sqref>I2:I131</xm:sqref>
        </x14:conditionalFormatting>
        <x14:conditionalFormatting xmlns:xm="http://schemas.microsoft.com/office/excel/2006/main">
          <x14:cfRule type="cellIs" priority="3" aboveAverage="0" operator="equal" rank="0" text="" id="{64BA7576-03C8-4468-B7DB-7F604EEAF2B9}">
            <xm:f>"Prompted"</xm:f>
            <x14:dxf>
              <fill>
                <patternFill patternType="solid">
                  <fgColor rgb="FFFFF3CD"/>
                  <bgColor rgb="FFFFF3CD"/>
                </patternFill>
              </fill>
            </x14:dxf>
          </x14:cfRule>
          <xm:sqref>I2:I131</xm:sqref>
        </x14:conditionalFormatting>
        <x14:conditionalFormatting xmlns:xm="http://schemas.microsoft.com/office/excel/2006/main">
          <x14:cfRule type="cellIs" priority="4" aboveAverage="0" operator="equal" rank="0" text="" id="{4EB68374-0C63-4035-B173-74A8929354FD}">
            <xm:f>"Generated"</xm:f>
            <x14:dxf>
              <fill>
                <patternFill patternType="solid">
                  <fgColor rgb="FFFFE0B3"/>
                  <bgColor rgb="FFFFE0B3"/>
                </patternFill>
              </fill>
            </x14:dxf>
          </x14:cfRule>
          <xm:sqref>I2:I131</xm:sqref>
        </x14:conditionalFormatting>
        <x14:conditionalFormatting xmlns:xm="http://schemas.microsoft.com/office/excel/2006/main">
          <x14:cfRule type="cellIs" priority="5" aboveAverage="0" operator="equal" rank="0" text="" id="{B161561E-003D-47ED-AA51-6F5A44D0A598}">
            <xm:f>"Cleaned"</xm:f>
            <x14:dxf>
              <fill>
                <patternFill patternType="solid">
                  <fgColor rgb="FFD6E4FF"/>
                  <bgColor rgb="FFD6E4FF"/>
                </patternFill>
              </fill>
            </x14:dxf>
          </x14:cfRule>
          <xm:sqref>I2:I131</xm:sqref>
        </x14:conditionalFormatting>
        <x14:conditionalFormatting xmlns:xm="http://schemas.microsoft.com/office/excel/2006/main">
          <x14:cfRule type="cellIs" priority="6" aboveAverage="0" operator="equal" rank="0" text="" id="{39A8F38E-0B32-4D29-837A-EE694859844C}">
            <xm:f>"Approved"</xm:f>
            <x14:dxf>
              <fill>
                <patternFill patternType="solid">
                  <fgColor rgb="FFD1F0D1"/>
                  <bgColor rgb="FFD1F0D1"/>
                </patternFill>
              </fill>
            </x14:dxf>
          </x14:cfRule>
          <xm:sqref>I2:I131</xm:sqref>
        </x14:conditionalFormatting>
        <x14:conditionalFormatting xmlns:xm="http://schemas.microsoft.com/office/excel/2006/main">
          <x14:cfRule type="cellIs" priority="7" aboveAverage="0" operator="equal" rank="0" text="" id="{714DF619-7F70-48D2-996C-A881270942CF}">
            <xm:f>"In Engine"</xm:f>
            <x14:dxf>
              <fill>
                <patternFill patternType="solid">
                  <fgColor rgb="FF9EDE9E"/>
                  <bgColor rgb="FF9EDE9E"/>
                </patternFill>
              </fill>
            </x14:dxf>
          </x14:cfRule>
          <xm:sqref>I2:I131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1A3BA441-F301-43D2-84C1-EE34CC6B05F5}" type="list" allowBlank="1" error="Pick a status from the list." errorStyle="stop" imeMode="noControl" operator="between" showDropDown="0" showErrorMessage="1" showInputMessage="0">
          <x14:formula1>
            <xm:f>"Not Started,Prompted,Generated,Cleaned,Approved,In Engine"</xm:f>
          </x14:formula1>
          <x14:formula2>
            <xm:f>0</xm:f>
          </x14:formula2>
          <xm:sqref>I2:I131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30" customWidth="1"/>
    <col min="2" max="2" width="30" customWidth="1"/>
    <col min="3" max="3" width="82" customWidth="1"/>
  </cols>
  <sheetData>
    <row r="1">
      <c r="A1" s="22" t="inlineStr">
        <is>
          <t xml:space="preserve">Character group</t>
        </is>
      </c>
      <c r="B1" s="22" t="inlineStr">
        <is>
          <t xml:space="preserve">Height in frame</t>
        </is>
      </c>
      <c r="C1" s="22" t="inlineStr">
        <is>
          <t xml:space="preserve">Assets</t>
        </is>
      </c>
    </row>
    <row r="2">
      <c r="A2" s="23" t="inlineStr">
        <is>
          <t xml:space="preserve">Children</t>
        </is>
      </c>
      <c r="B2" s="23" t="inlineStr">
        <is>
          <t xml:space="preserve">~44 px</t>
        </is>
      </c>
      <c r="C2" s="23" t="inlineStr">
        <is>
          <t xml:space="preserve">CH-028</t>
        </is>
      </c>
    </row>
    <row r="3">
      <c r="A3" s="23" t="inlineStr">
        <is>
          <t xml:space="preserve">Terran (Durak)</t>
        </is>
      </c>
      <c r="B3" s="23" t="inlineStr">
        <is>
          <t xml:space="preserve">~52 px (broad)</t>
        </is>
      </c>
      <c r="C3" s="23" t="inlineStr">
        <is>
          <t xml:space="preserve">CH-011</t>
        </is>
      </c>
    </row>
    <row r="4">
      <c r="A4" s="23" t="inlineStr">
        <is>
          <t xml:space="preserve">Elves &amp; humans</t>
        </is>
      </c>
      <c r="B4" s="23" t="inlineStr">
        <is>
          <t xml:space="preserve">~62-64 px</t>
        </is>
      </c>
      <c r="C4" s="23" t="inlineStr">
        <is>
          <t xml:space="preserve">CH-001/002, CH-006-010, CH-012-018, CH-023-027</t>
        </is>
      </c>
    </row>
    <row r="5">
      <c r="A5" s="23" t="inlineStr">
        <is>
          <t xml:space="preserve">Void Wardens (armoured)</t>
        </is>
      </c>
      <c r="B5" s="23" t="inlineStr">
        <is>
          <t xml:space="preserve">~68 px</t>
        </is>
      </c>
      <c r="C5" s="23" t="inlineStr">
        <is>
          <t xml:space="preserve">CH-017</t>
        </is>
      </c>
    </row>
    <row r="6">
      <c r="A6" s="23" t="inlineStr">
        <is>
          <t xml:space="preserve">Orcs</t>
        </is>
      </c>
      <c r="B6" s="23" t="inlineStr">
        <is>
          <t xml:space="preserve">~68-70 px</t>
        </is>
      </c>
      <c r="C6" s="23" t="inlineStr">
        <is>
          <t xml:space="preserve">CH-003/004/005, CH-019-022, CH-028 (adult)</t>
        </is>
      </c>
    </row>
    <row r="8">
      <c r="A8" s="23" t="inlineStr">
        <is>
          <t xml:space="preserve">FRAME SPEC (locked 2026-07-17)</t>
        </is>
      </c>
      <c r="B8" s="23"/>
      <c r="C8" s="23"/>
    </row>
    <row r="9">
      <c r="A9" s="23" t="inlineStr">
        <is>
          <t xml:space="preserve">Sprite frame</t>
        </is>
      </c>
      <c r="B9" s="23" t="inlineStr">
        <is>
          <t xml:space="preserve">48 x 72 px</t>
        </is>
      </c>
      <c r="C9" s="23" t="inlineStr">
        <is>
          <t xml:space="preserve">48 px width confirmed sufficient by the user, 2026-07-17.</t>
        </is>
      </c>
    </row>
    <row r="10">
      <c r="A10" s="23" t="inlineStr">
        <is>
          <t xml:space="preserve">Sprite sheet</t>
        </is>
      </c>
      <c r="B10" s="23" t="inlineStr">
        <is>
          <t xml:space="preserve">192 x 288 px</t>
        </is>
      </c>
      <c r="C10" s="23" t="inlineStr">
        <is>
          <t xml:space="preserve">4 columns x 4 rows.</t>
        </is>
      </c>
    </row>
    <row r="11">
      <c r="A11" s="23" t="inlineStr">
        <is>
          <t xml:space="preserve">Row order</t>
        </is>
      </c>
      <c r="B11" s="23" t="inlineStr">
        <is>
          <t xml:space="preserve">0=down 1=up 2=right 3=left</t>
        </is>
      </c>
      <c r="C11" s="23" t="inlineStr">
        <is>
          <t xml:space="preserve">Lock this. Confirmed against the cleaned CH-001 sheet 2026-07-17 - the art is the ground truth here, not the other way round.</t>
        </is>
      </c>
    </row>
    <row r="12">
      <c r="A12" s="23" t="inlineStr">
        <is>
          <t xml:space="preserve">Baseline</t>
        </is>
      </c>
      <c r="B12" s="23" t="inlineStr">
        <is>
          <t xml:space="preserve">Feet on the frame's bottom edge</t>
        </is>
      </c>
      <c r="C12" s="23" t="inlineStr">
        <is>
          <t xml:space="preserve">Headroom varies; the feet do not.</t>
        </is>
      </c>
    </row>
    <row r="13">
      <c r="A13" s="23" t="inlineStr">
        <is>
          <t xml:space="preserve">Tile grid</t>
        </is>
      </c>
      <c r="B13" s="23" t="inlineStr">
        <is>
          <t xml:space="preserve">32 x 32 px</t>
        </is>
      </c>
      <c r="C13" s="23" t="inlineStr">
        <is>
          <t xml:space="preserve">Tilesets ONLY. Nothing to do with sprite frames.</t>
        </is>
      </c>
    </row>
    <row r="15">
      <c r="A15" s="22" t="inlineStr">
        <is>
          <t xml:space="preserve">REFERENCE</t>
        </is>
      </c>
      <c r="B15" s="22"/>
      <c r="C15" s="22"/>
    </row>
    <row r="16">
      <c r="A16" s="23" t="inlineStr">
        <is>
          <t xml:space="preserve">CH-001 (Elorin)</t>
        </is>
      </c>
      <c r="B16" s="23" t="inlineStr">
        <is>
          <t xml:space="preserve">64 px tall in a 48x72 frame</t>
        </is>
      </c>
      <c r="C16" s="23" t="inlineStr">
        <is>
          <t xml:space="preserve">Already produced. Every other elf/human matches her. Do not re-derive this from anything else.</t>
        </is>
      </c>
    </row>
    <row r="18">
      <c r="A18" s="23" t="inlineStr">
        <is>
          <t xml:space="preserve">Native viewport is 960 x 540 (GDD S13).</t>
        </is>
      </c>
      <c r="B18" s="23"/>
      <c r="C18" s="23" t="inlineStr">
        <is>
          <t xml:space="preserve">Never judge sprite size in Affinity at 100%. The only honest size check is running the sheet in Godot.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2026-07-11T23:44:53Z</dcterms:created>
  <dcterms:modified xsi:type="dcterms:W3CDTF">2026-07-15T11:14:28Z</dcterms:modified>
</cp:coreProperties>
</file>